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bra\GitHub\This-One-Will-Be-Different\CobbDocs\"/>
    </mc:Choice>
  </mc:AlternateContent>
  <xr:revisionPtr revIDLastSave="0" documentId="13_ncr:1_{72D8FA25-C842-42BA-909B-95C908B91C72}" xr6:coauthVersionLast="47" xr6:coauthVersionMax="47" xr10:uidLastSave="{00000000-0000-0000-0000-000000000000}"/>
  <bookViews>
    <workbookView xWindow="-108" yWindow="-108" windowWidth="23256" windowHeight="12456" activeTab="1" xr2:uid="{CEDEA0C4-ED09-4EF5-AB2D-04585F13BFFE}"/>
  </bookViews>
  <sheets>
    <sheet name="Sources for Table 13.2" sheetId="1" r:id="rId1"/>
    <sheet name="Sources for Table 21.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3" i="2" l="1"/>
  <c r="B42" i="2"/>
  <c r="B40" i="2"/>
  <c r="B39" i="2"/>
  <c r="B37" i="2"/>
  <c r="B34" i="2"/>
  <c r="B24" i="2"/>
  <c r="B25" i="2"/>
  <c r="AC43" i="2"/>
  <c r="Y43" i="2"/>
  <c r="V43" i="2"/>
  <c r="S43" i="2"/>
  <c r="P43" i="2"/>
  <c r="M43" i="2"/>
  <c r="J43" i="2"/>
  <c r="F43" i="2"/>
  <c r="AC37" i="2"/>
  <c r="Y37" i="2"/>
  <c r="V37" i="2"/>
  <c r="S37" i="2"/>
  <c r="P37" i="2"/>
  <c r="M37" i="2"/>
  <c r="J37" i="2"/>
  <c r="F37" i="2"/>
  <c r="AC34" i="2"/>
  <c r="AC40" i="2" s="1"/>
  <c r="Y34" i="2"/>
  <c r="Y40" i="2" s="1"/>
  <c r="V34" i="2"/>
  <c r="V40" i="2" s="1"/>
  <c r="S34" i="2"/>
  <c r="S40" i="2" s="1"/>
  <c r="P34" i="2"/>
  <c r="P40" i="2" s="1"/>
  <c r="M34" i="2"/>
  <c r="M40" i="2" s="1"/>
  <c r="J34" i="2"/>
  <c r="J40" i="2" s="1"/>
  <c r="F34" i="2"/>
  <c r="F40" i="2" s="1"/>
  <c r="AC25" i="2"/>
  <c r="AC42" i="2" s="1"/>
  <c r="Y25" i="2"/>
  <c r="Y42" i="2" s="1"/>
  <c r="V25" i="2"/>
  <c r="V42" i="2" s="1"/>
  <c r="S25" i="2"/>
  <c r="S42" i="2" s="1"/>
  <c r="P25" i="2"/>
  <c r="P42" i="2" s="1"/>
  <c r="M25" i="2"/>
  <c r="M42" i="2" s="1"/>
  <c r="J25" i="2"/>
  <c r="J42" i="2" s="1"/>
  <c r="F25" i="2"/>
  <c r="F42" i="2" s="1"/>
  <c r="AC24" i="2"/>
  <c r="AC39" i="2" s="1"/>
  <c r="AB24" i="2"/>
  <c r="Y24" i="2"/>
  <c r="Y39" i="2" s="1"/>
  <c r="X24" i="2"/>
  <c r="X18" i="2" s="1"/>
  <c r="V24" i="2"/>
  <c r="V39" i="2" s="1"/>
  <c r="U24" i="2"/>
  <c r="S24" i="2"/>
  <c r="S39" i="2" s="1"/>
  <c r="R24" i="2"/>
  <c r="P24" i="2"/>
  <c r="P39" i="2" s="1"/>
  <c r="M24" i="2"/>
  <c r="M39" i="2" s="1"/>
  <c r="J24" i="2"/>
  <c r="J39" i="2" s="1"/>
  <c r="F24" i="2"/>
  <c r="F39" i="2" s="1"/>
  <c r="E24" i="2"/>
  <c r="AB18" i="2"/>
  <c r="U18" i="2"/>
  <c r="R18" i="2"/>
  <c r="O18" i="2"/>
  <c r="L18" i="2"/>
  <c r="I18" i="2"/>
  <c r="E18" i="2"/>
  <c r="O12" i="2"/>
  <c r="L12" i="2"/>
  <c r="I12" i="2"/>
  <c r="B28" i="1"/>
  <c r="H28" i="1"/>
  <c r="F36" i="1"/>
  <c r="F35" i="1"/>
  <c r="D36" i="1"/>
  <c r="D35" i="1"/>
  <c r="F28" i="1"/>
  <c r="D28" i="1"/>
  <c r="H26" i="1"/>
  <c r="H25" i="1"/>
  <c r="H24" i="1"/>
  <c r="H23" i="1"/>
  <c r="H22" i="1"/>
  <c r="H15" i="1"/>
  <c r="H9" i="1"/>
  <c r="H8" i="1"/>
  <c r="H7" i="1"/>
  <c r="H6" i="1"/>
  <c r="H5" i="1"/>
  <c r="H4" i="1"/>
  <c r="H3" i="1"/>
  <c r="F12" i="1"/>
  <c r="F31" i="1" s="1"/>
  <c r="D12" i="1"/>
  <c r="B12" i="1"/>
  <c r="B13" i="1" s="1"/>
  <c r="H12" i="1" l="1"/>
  <c r="H31" i="1" s="1"/>
  <c r="H35" i="1" s="1"/>
  <c r="D31" i="1"/>
  <c r="F18" i="1"/>
  <c r="F13" i="1"/>
  <c r="D18" i="1"/>
  <c r="H18" i="1" s="1"/>
  <c r="D13" i="1"/>
  <c r="D32" i="1" s="1"/>
  <c r="B18" i="1"/>
  <c r="B19" i="1"/>
  <c r="F19" i="1" l="1"/>
  <c r="F32" i="1"/>
  <c r="D19" i="1"/>
  <c r="H19" i="1" s="1"/>
  <c r="H13" i="1"/>
  <c r="H32" i="1" s="1"/>
  <c r="H36" i="1" s="1"/>
</calcChain>
</file>

<file path=xl/sharedStrings.xml><?xml version="1.0" encoding="utf-8"?>
<sst xmlns="http://schemas.openxmlformats.org/spreadsheetml/2006/main" count="244" uniqueCount="99">
  <si>
    <t>Sales Taxes</t>
  </si>
  <si>
    <t>Slide 12</t>
  </si>
  <si>
    <t>Slide 10</t>
  </si>
  <si>
    <t>General Fund Property Taxes</t>
  </si>
  <si>
    <t>Slide 9 (bottom)</t>
  </si>
  <si>
    <t>Slide 11</t>
  </si>
  <si>
    <t>Slide 9</t>
  </si>
  <si>
    <t>Cumberland SSD II (Property)</t>
  </si>
  <si>
    <t>Business License</t>
  </si>
  <si>
    <t>Liquor by the Drink</t>
  </si>
  <si>
    <t>Fire District Fund</t>
  </si>
  <si>
    <t>Debt Service Fund</t>
  </si>
  <si>
    <t>Commercial Permits</t>
  </si>
  <si>
    <t>2/3 Contribution (adjusting for crowding out)</t>
  </si>
  <si>
    <t>ANLBC Rent</t>
  </si>
  <si>
    <t>Total ANLBC Contribution</t>
  </si>
  <si>
    <t>No crowding out</t>
  </si>
  <si>
    <t>Adjusting for crowding out</t>
  </si>
  <si>
    <t>Slide 8</t>
  </si>
  <si>
    <t>Debt Service</t>
  </si>
  <si>
    <t>Capital Maintenance</t>
  </si>
  <si>
    <t>I-285 Bridge</t>
  </si>
  <si>
    <t>Property Insurance</t>
  </si>
  <si>
    <t>Police</t>
  </si>
  <si>
    <t>Slide 13</t>
  </si>
  <si>
    <t>Gross Tax Contribution</t>
  </si>
  <si>
    <t>Average</t>
  </si>
  <si>
    <t>County Costs</t>
  </si>
  <si>
    <t>Total Cost</t>
  </si>
  <si>
    <t>Cobb Surplus/Deficit</t>
  </si>
  <si>
    <t>Per Household (280,374)</t>
  </si>
  <si>
    <t>Battery Contributions</t>
  </si>
  <si>
    <t xml:space="preserve">Slide 9 </t>
  </si>
  <si>
    <t>Note, data as reported on Year Review documents. Some of these totals would  later be updated.</t>
  </si>
  <si>
    <t>Source</t>
  </si>
  <si>
    <t>CobbYearInReview_2017</t>
  </si>
  <si>
    <t>CobbYearInReview_2018</t>
  </si>
  <si>
    <t>CobbYearInReview_2019</t>
  </si>
  <si>
    <t>2017 also doesn't add up when using  reported 6.4 mil, which is the official estimate for stadium. I use remainder so costs= revenue</t>
  </si>
  <si>
    <t>Slide</t>
  </si>
  <si>
    <t>Cumberland Special Service District  I (Hotel)</t>
  </si>
  <si>
    <t>Slide 11 &amp; 10</t>
  </si>
  <si>
    <t>Slide 12 &amp;11</t>
  </si>
  <si>
    <t>Slide 5</t>
  </si>
  <si>
    <t>(amount of SSD1 going to ballpark)</t>
  </si>
  <si>
    <t>Cumberland Special Service District II (Property)</t>
  </si>
  <si>
    <t>(summed)</t>
  </si>
  <si>
    <t xml:space="preserve">Slide 9 (close but not like past reports), </t>
  </si>
  <si>
    <t xml:space="preserve">Slide 10 (close but not like past reports), </t>
  </si>
  <si>
    <t>Slide 10 (appears to be new normal)</t>
  </si>
  <si>
    <t>Slide 2</t>
  </si>
  <si>
    <t>Not ANLBC</t>
  </si>
  <si>
    <t>Missing from Slide 11</t>
  </si>
  <si>
    <t>Missing from Slide 12</t>
  </si>
  <si>
    <t>No longer reported</t>
  </si>
  <si>
    <t>ANLBC</t>
  </si>
  <si>
    <t>County Hotel Tax</t>
  </si>
  <si>
    <t>Slide 7 &amp; 10</t>
  </si>
  <si>
    <t>Car Rental Tax</t>
  </si>
  <si>
    <t>General Fund Property Tax</t>
  </si>
  <si>
    <t>Slide 9 (6.4 million) Remainder Non-Gen Fund Cost - Total Revenue</t>
  </si>
  <si>
    <t>Remainder Non-Gen Fund Cost - Total Revenue</t>
  </si>
  <si>
    <t>Not ANLBC (after 2020 ? Not clear what it means)</t>
  </si>
  <si>
    <t>Slide 11?  (hard to know what this means)</t>
  </si>
  <si>
    <t>Slide 12?  (hard to know what this means)</t>
  </si>
  <si>
    <t>Slide 5? (hard to know what this means)</t>
  </si>
  <si>
    <t>Slide 6 (differs for past years)</t>
  </si>
  <si>
    <t>Slide 7 (bottom of page, differs for past years)</t>
  </si>
  <si>
    <t>Insurance Fund</t>
  </si>
  <si>
    <t>Inferred from Slide 11</t>
  </si>
  <si>
    <t>Missing from Slide 11 (Zimbalist , p. 19)</t>
  </si>
  <si>
    <t>Missing from Slide 12 (Zimbalist, p. 21)</t>
  </si>
  <si>
    <t>Missing from Slide 5 (Zimbalist, p. 21)</t>
  </si>
  <si>
    <t>non-gen fund</t>
  </si>
  <si>
    <t>Revenue from Taxes (-- ANLBC Rent and isurance)</t>
  </si>
  <si>
    <t>Slide 6</t>
  </si>
  <si>
    <t>Slide 7</t>
  </si>
  <si>
    <t>Zimbalist Report, p. 19</t>
  </si>
  <si>
    <t>Zimbalist Report, p. 21</t>
  </si>
  <si>
    <t>Zimbalist Report, p. 19 (use past year so rounds to Z's reported total cost)</t>
  </si>
  <si>
    <t>Fiscal years from October 1 to September 30. Source: Cobb Board of Commissioners (2018, 2019, 2020, 2021)</t>
  </si>
  <si>
    <t>Notes: Page 7 appears to have been released with some placeholder data for SSDs. Property tax data doesn't match past years or slide 12.</t>
  </si>
  <si>
    <t>Total Revenue (removing insurance)</t>
  </si>
  <si>
    <t>Total Cost (removing insurance)</t>
  </si>
  <si>
    <t>2021 and 2022 General Fund contributions don't make much sense, and unclear what they reflect. Therefore, This estimate GF by substracting all other revenue from Total Revenue</t>
  </si>
  <si>
    <t>NOTES</t>
  </si>
  <si>
    <t>General Fund share of tax revenue</t>
  </si>
  <si>
    <t>Non-debt service costs (removing insurance)</t>
  </si>
  <si>
    <t>I decided to remove the insurance revenue and cost components in the book version for similicity, because they cancel out. They remain here. See below for totals without insurance.</t>
  </si>
  <si>
    <t>It reports whole dollar amounts, not in millions like the book table.</t>
  </si>
  <si>
    <t xml:space="preserve">This is a table for identifying the location of information reported in Table 26.1 </t>
  </si>
  <si>
    <t>Sources refer to the relevant Cobb BOC Year In Review slide deck.</t>
  </si>
  <si>
    <t>Revenue</t>
  </si>
  <si>
    <t>Total Revenue</t>
  </si>
  <si>
    <t>Expenditures</t>
  </si>
  <si>
    <t>Avearage yearly contribution</t>
  </si>
  <si>
    <t>(from 2017 slide deck)</t>
  </si>
  <si>
    <t>See NOTES: Does not add up</t>
  </si>
  <si>
    <t>Proposed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</si>
</sst>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&quot;$&quot;#,##0.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  <scheme val="minor"/>
    </font>
    <font>
      <sz val="11"/>
      <color theme="1"/>
      <name val="Garamond"/>
      <family val="1"/>
    </font>
    <font>
      <i/>
      <sz val="11"/>
      <color theme="1"/>
      <name val="Garamond"/>
      <family val="1"/>
    </font>
    <font>
      <b/>
      <sz val="11"/>
      <color theme="1"/>
      <name val="Garamond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1" fillId="0" borderId="0" xfId="0" applyFont="1" applyAlignment="1">
      <alignment horizontal="center"/>
    </xf>
    <xf numFmtId="164" fontId="0" fillId="0" borderId="0" xfId="0" applyNumberForma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left"/>
    </xf>
    <xf numFmtId="3" fontId="1" fillId="0" borderId="0" xfId="0" applyNumberFormat="1" applyFont="1"/>
    <xf numFmtId="0" fontId="0" fillId="0" borderId="1" xfId="0" applyBorder="1"/>
    <xf numFmtId="0" fontId="3" fillId="0" borderId="0" xfId="0" applyFont="1"/>
    <xf numFmtId="0" fontId="4" fillId="0" borderId="0" xfId="0" applyFont="1"/>
    <xf numFmtId="0" fontId="3" fillId="0" borderId="1" xfId="0" applyFont="1" applyBorder="1"/>
    <xf numFmtId="164" fontId="3" fillId="0" borderId="0" xfId="0" applyNumberFormat="1" applyFont="1"/>
    <xf numFmtId="164" fontId="3" fillId="0" borderId="1" xfId="0" applyNumberFormat="1" applyFont="1" applyBorder="1"/>
    <xf numFmtId="3" fontId="3" fillId="0" borderId="0" xfId="0" applyNumberFormat="1" applyFont="1"/>
    <xf numFmtId="0" fontId="5" fillId="0" borderId="0" xfId="0" applyFont="1"/>
    <xf numFmtId="164" fontId="5" fillId="0" borderId="0" xfId="0" applyNumberFormat="1" applyFont="1"/>
    <xf numFmtId="164" fontId="5" fillId="0" borderId="1" xfId="0" applyNumberFormat="1" applyFont="1" applyBorder="1"/>
    <xf numFmtId="0" fontId="3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center" wrapText="1"/>
    </xf>
    <xf numFmtId="164" fontId="0" fillId="0" borderId="1" xfId="0" applyNumberFormat="1" applyBorder="1"/>
    <xf numFmtId="0" fontId="0" fillId="0" borderId="0" xfId="0" applyAlignment="1">
      <alignment wrapText="1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0" fillId="0" borderId="3" xfId="0" applyBorder="1"/>
    <xf numFmtId="0" fontId="0" fillId="0" borderId="2" xfId="0" applyBorder="1"/>
    <xf numFmtId="9" fontId="0" fillId="0" borderId="0" xfId="0" applyNumberFormat="1"/>
    <xf numFmtId="0" fontId="2" fillId="0" borderId="2" xfId="0" applyFont="1" applyBorder="1"/>
    <xf numFmtId="0" fontId="2" fillId="0" borderId="0" xfId="0" applyFont="1" applyBorder="1"/>
    <xf numFmtId="2" fontId="3" fillId="0" borderId="0" xfId="0" applyNumberFormat="1" applyFont="1"/>
    <xf numFmtId="2" fontId="4" fillId="0" borderId="0" xfId="0" applyNumberFormat="1" applyFont="1"/>
    <xf numFmtId="0" fontId="2" fillId="0" borderId="1" xfId="0" applyFont="1" applyBorder="1"/>
    <xf numFmtId="0" fontId="3" fillId="0" borderId="3" xfId="0" applyFont="1" applyBorder="1"/>
    <xf numFmtId="0" fontId="4" fillId="0" borderId="1" xfId="0" applyFont="1" applyBorder="1"/>
    <xf numFmtId="0" fontId="5" fillId="0" borderId="1" xfId="0" applyFont="1" applyBorder="1"/>
    <xf numFmtId="0" fontId="3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8A0A1-FC47-420C-8AAA-F232B26C0CDC}">
  <dimension ref="A1:M39"/>
  <sheetViews>
    <sheetView workbookViewId="0">
      <selection activeCell="C14" sqref="C14"/>
    </sheetView>
  </sheetViews>
  <sheetFormatPr defaultRowHeight="14.4" x14ac:dyDescent="0.3"/>
  <cols>
    <col min="1" max="1" width="38.6640625" style="1" bestFit="1" customWidth="1"/>
    <col min="2" max="2" width="11.77734375" style="1" bestFit="1" customWidth="1"/>
    <col min="3" max="3" width="26.88671875" style="1" bestFit="1" customWidth="1"/>
    <col min="4" max="4" width="11.77734375" style="1" bestFit="1" customWidth="1"/>
    <col min="5" max="5" width="21" style="1" bestFit="1" customWidth="1"/>
    <col min="6" max="6" width="11.77734375" style="1" bestFit="1" customWidth="1"/>
    <col min="7" max="7" width="21" style="1" bestFit="1" customWidth="1"/>
    <col min="8" max="8" width="11.77734375" style="1" bestFit="1" customWidth="1"/>
    <col min="11" max="11" width="11.77734375" bestFit="1" customWidth="1"/>
  </cols>
  <sheetData>
    <row r="1" spans="1:8" x14ac:dyDescent="0.3">
      <c r="B1" s="4">
        <v>2017</v>
      </c>
      <c r="C1" s="4" t="s">
        <v>34</v>
      </c>
      <c r="D1" s="4">
        <v>2018</v>
      </c>
      <c r="E1" s="4" t="s">
        <v>34</v>
      </c>
      <c r="F1" s="4">
        <v>2019</v>
      </c>
      <c r="G1" s="4" t="s">
        <v>34</v>
      </c>
      <c r="H1" t="s">
        <v>26</v>
      </c>
    </row>
    <row r="2" spans="1:8" x14ac:dyDescent="0.3">
      <c r="A2" s="1" t="s">
        <v>31</v>
      </c>
      <c r="C2" s="1" t="s">
        <v>35</v>
      </c>
      <c r="E2" s="1" t="s">
        <v>36</v>
      </c>
      <c r="G2" s="1" t="s">
        <v>37</v>
      </c>
    </row>
    <row r="3" spans="1:8" x14ac:dyDescent="0.3">
      <c r="A3" s="1" t="s">
        <v>0</v>
      </c>
      <c r="B3" s="2">
        <v>1600000</v>
      </c>
      <c r="C3" s="2" t="s">
        <v>18</v>
      </c>
      <c r="D3" s="2">
        <v>2482550</v>
      </c>
      <c r="E3" s="2" t="s">
        <v>1</v>
      </c>
      <c r="F3" s="2">
        <v>2743463.1666666665</v>
      </c>
      <c r="G3" s="2" t="s">
        <v>2</v>
      </c>
      <c r="H3" s="5">
        <f>AVERAGE(D3,F3)</f>
        <v>2613006.583333333</v>
      </c>
    </row>
    <row r="4" spans="1:8" x14ac:dyDescent="0.3">
      <c r="A4" s="1" t="s">
        <v>3</v>
      </c>
      <c r="B4" s="2">
        <v>404288</v>
      </c>
      <c r="C4" s="2" t="s">
        <v>4</v>
      </c>
      <c r="D4" s="2">
        <v>1782956</v>
      </c>
      <c r="E4" s="2" t="s">
        <v>5</v>
      </c>
      <c r="F4" s="2">
        <v>1868937</v>
      </c>
      <c r="G4" s="2" t="s">
        <v>6</v>
      </c>
      <c r="H4" s="5">
        <f t="shared" ref="H4:H9" si="0">AVERAGE(D4,F4)</f>
        <v>1825946.5</v>
      </c>
    </row>
    <row r="5" spans="1:8" x14ac:dyDescent="0.3">
      <c r="A5" s="1" t="s">
        <v>7</v>
      </c>
      <c r="B5" s="6">
        <v>5319413</v>
      </c>
      <c r="C5" s="7" t="s">
        <v>32</v>
      </c>
      <c r="D5" s="2">
        <v>516341</v>
      </c>
      <c r="E5" s="2" t="s">
        <v>5</v>
      </c>
      <c r="F5" s="2">
        <v>541241</v>
      </c>
      <c r="G5" s="2" t="s">
        <v>6</v>
      </c>
      <c r="H5" s="5">
        <f t="shared" si="0"/>
        <v>528791</v>
      </c>
    </row>
    <row r="6" spans="1:8" x14ac:dyDescent="0.3">
      <c r="A6" s="1" t="s">
        <v>8</v>
      </c>
      <c r="B6" s="2">
        <v>258147</v>
      </c>
      <c r="C6" s="2" t="s">
        <v>1</v>
      </c>
      <c r="D6" s="2">
        <v>272407</v>
      </c>
      <c r="E6" s="2" t="s">
        <v>1</v>
      </c>
      <c r="F6" s="2">
        <v>189611</v>
      </c>
      <c r="G6" s="2" t="s">
        <v>2</v>
      </c>
      <c r="H6" s="5">
        <f t="shared" si="0"/>
        <v>231009</v>
      </c>
    </row>
    <row r="7" spans="1:8" x14ac:dyDescent="0.3">
      <c r="A7" s="1" t="s">
        <v>9</v>
      </c>
      <c r="B7" s="2">
        <v>118800</v>
      </c>
      <c r="C7" s="2" t="s">
        <v>1</v>
      </c>
      <c r="D7" s="2">
        <v>472682</v>
      </c>
      <c r="E7" s="2" t="s">
        <v>1</v>
      </c>
      <c r="F7" s="2">
        <v>601431</v>
      </c>
      <c r="G7" s="2" t="s">
        <v>2</v>
      </c>
      <c r="H7" s="5">
        <f t="shared" si="0"/>
        <v>537056.5</v>
      </c>
    </row>
    <row r="8" spans="1:8" x14ac:dyDescent="0.3">
      <c r="A8" s="1" t="s">
        <v>10</v>
      </c>
      <c r="B8" s="2">
        <v>199095</v>
      </c>
      <c r="C8" s="2" t="s">
        <v>4</v>
      </c>
      <c r="D8" s="2">
        <v>222833</v>
      </c>
      <c r="E8" s="2" t="s">
        <v>1</v>
      </c>
      <c r="F8" s="2">
        <v>631816</v>
      </c>
      <c r="G8" s="2" t="s">
        <v>2</v>
      </c>
      <c r="H8" s="5">
        <f t="shared" si="0"/>
        <v>427324.5</v>
      </c>
    </row>
    <row r="9" spans="1:8" x14ac:dyDescent="0.3">
      <c r="A9" s="1" t="s">
        <v>11</v>
      </c>
      <c r="B9" s="2">
        <v>7775</v>
      </c>
      <c r="C9" s="2" t="s">
        <v>4</v>
      </c>
      <c r="D9" s="2">
        <v>9787</v>
      </c>
      <c r="E9" s="2" t="s">
        <v>1</v>
      </c>
      <c r="F9" s="2">
        <v>28719</v>
      </c>
      <c r="G9" s="2" t="s">
        <v>2</v>
      </c>
      <c r="H9" s="5">
        <f t="shared" si="0"/>
        <v>19253</v>
      </c>
    </row>
    <row r="10" spans="1:8" x14ac:dyDescent="0.3">
      <c r="A10" s="1" t="s">
        <v>12</v>
      </c>
      <c r="B10" s="2">
        <v>289604</v>
      </c>
      <c r="C10" s="2" t="s">
        <v>1</v>
      </c>
      <c r="H10"/>
    </row>
    <row r="11" spans="1:8" x14ac:dyDescent="0.3">
      <c r="H11"/>
    </row>
    <row r="12" spans="1:8" x14ac:dyDescent="0.3">
      <c r="A12" s="1" t="s">
        <v>25</v>
      </c>
      <c r="B12" s="2">
        <f>SUM(B3:B10)</f>
        <v>8197122</v>
      </c>
      <c r="C12" s="2"/>
      <c r="D12" s="2">
        <f>SUM(D3:D9)</f>
        <v>5759556</v>
      </c>
      <c r="E12" s="2"/>
      <c r="F12" s="2">
        <f>SUM(F3:F9)</f>
        <v>6605218.166666666</v>
      </c>
      <c r="G12" s="2"/>
      <c r="H12" s="5">
        <f>AVERAGE(D12,F12)</f>
        <v>6182387.083333333</v>
      </c>
    </row>
    <row r="13" spans="1:8" x14ac:dyDescent="0.3">
      <c r="A13" s="1" t="s">
        <v>13</v>
      </c>
      <c r="B13" s="2">
        <f>SUM((2/3)*B12)</f>
        <v>5464748</v>
      </c>
      <c r="C13" s="2"/>
      <c r="D13" s="2">
        <f>SUM((2/3)*D12)</f>
        <v>3839704</v>
      </c>
      <c r="E13" s="2"/>
      <c r="F13" s="2">
        <f>SUM((2/3)*F12)</f>
        <v>4403478.7777777771</v>
      </c>
      <c r="G13" s="2"/>
      <c r="H13" s="5">
        <f>AVERAGE(D13,F13)</f>
        <v>4121591.3888888885</v>
      </c>
    </row>
    <row r="14" spans="1:8" x14ac:dyDescent="0.3">
      <c r="H14"/>
    </row>
    <row r="15" spans="1:8" x14ac:dyDescent="0.3">
      <c r="A15" s="1" t="s">
        <v>14</v>
      </c>
      <c r="B15" s="2">
        <v>3050000</v>
      </c>
      <c r="C15" s="2"/>
      <c r="D15" s="2">
        <v>6100000</v>
      </c>
      <c r="E15" s="2"/>
      <c r="F15" s="2">
        <v>6100000</v>
      </c>
      <c r="G15" s="2"/>
      <c r="H15" s="5">
        <f>AVERAGE(D15,F15)</f>
        <v>6100000</v>
      </c>
    </row>
    <row r="16" spans="1:8" x14ac:dyDescent="0.3">
      <c r="H16"/>
    </row>
    <row r="17" spans="1:13" x14ac:dyDescent="0.3">
      <c r="A17" s="1" t="s">
        <v>15</v>
      </c>
      <c r="H17"/>
    </row>
    <row r="18" spans="1:13" x14ac:dyDescent="0.3">
      <c r="A18" s="1" t="s">
        <v>16</v>
      </c>
      <c r="B18" s="2">
        <f>SUM(B15+B12)</f>
        <v>11247122</v>
      </c>
      <c r="C18" s="2"/>
      <c r="D18" s="2">
        <f>SUM(D15+D12)</f>
        <v>11859556</v>
      </c>
      <c r="E18" s="2"/>
      <c r="F18" s="2">
        <f>SUM(F15+F12)</f>
        <v>12705218.166666666</v>
      </c>
      <c r="G18" s="2"/>
      <c r="H18" s="5">
        <f>AVERAGE(D18,F18)</f>
        <v>12282387.083333332</v>
      </c>
    </row>
    <row r="19" spans="1:13" x14ac:dyDescent="0.3">
      <c r="A19" s="1" t="s">
        <v>17</v>
      </c>
      <c r="B19" s="2">
        <f>SUM(B15+B13)</f>
        <v>8514748</v>
      </c>
      <c r="C19" s="2"/>
      <c r="D19" s="2">
        <f>SUM(D15+D13)</f>
        <v>9939704</v>
      </c>
      <c r="E19" s="2"/>
      <c r="F19" s="2">
        <f>SUM(F15+F13)</f>
        <v>10503478.777777776</v>
      </c>
      <c r="G19" s="2"/>
      <c r="H19" s="5">
        <f>AVERAGE(D19,F19)</f>
        <v>10221591.388888888</v>
      </c>
    </row>
    <row r="20" spans="1:13" x14ac:dyDescent="0.3">
      <c r="H20"/>
    </row>
    <row r="21" spans="1:13" x14ac:dyDescent="0.3">
      <c r="A21" s="1" t="s">
        <v>27</v>
      </c>
      <c r="H21"/>
    </row>
    <row r="22" spans="1:13" x14ac:dyDescent="0.3">
      <c r="A22" s="1" t="s">
        <v>19</v>
      </c>
      <c r="B22" s="2">
        <v>18793290</v>
      </c>
      <c r="C22" s="1" t="s">
        <v>24</v>
      </c>
      <c r="D22" s="2">
        <v>22484130</v>
      </c>
      <c r="E22" s="1" t="s">
        <v>5</v>
      </c>
      <c r="F22" s="2">
        <v>22485537</v>
      </c>
      <c r="G22" s="1" t="s">
        <v>6</v>
      </c>
      <c r="H22" s="5">
        <f t="shared" ref="H22:H26" si="1">AVERAGE(D22,F22)</f>
        <v>22484833.5</v>
      </c>
    </row>
    <row r="23" spans="1:13" x14ac:dyDescent="0.3">
      <c r="A23" s="1" t="s">
        <v>20</v>
      </c>
      <c r="B23" s="2">
        <v>1200000</v>
      </c>
      <c r="C23" s="1" t="s">
        <v>5</v>
      </c>
      <c r="D23" s="2">
        <v>1230000</v>
      </c>
      <c r="E23" s="1" t="s">
        <v>5</v>
      </c>
      <c r="F23" s="2">
        <v>1260000</v>
      </c>
      <c r="G23" s="1" t="s">
        <v>6</v>
      </c>
      <c r="H23" s="5">
        <f t="shared" si="1"/>
        <v>1245000</v>
      </c>
    </row>
    <row r="24" spans="1:13" x14ac:dyDescent="0.3">
      <c r="A24" s="1" t="s">
        <v>21</v>
      </c>
      <c r="B24" s="2">
        <v>169655</v>
      </c>
      <c r="C24" s="1" t="s">
        <v>5</v>
      </c>
      <c r="D24" s="2">
        <v>169656</v>
      </c>
      <c r="E24" s="1" t="s">
        <v>5</v>
      </c>
      <c r="F24" s="2">
        <v>169655</v>
      </c>
      <c r="G24" s="1" t="s">
        <v>6</v>
      </c>
      <c r="H24" s="5">
        <f t="shared" si="1"/>
        <v>169655.5</v>
      </c>
    </row>
    <row r="25" spans="1:13" x14ac:dyDescent="0.3">
      <c r="A25" s="1" t="s">
        <v>22</v>
      </c>
      <c r="B25" s="2">
        <v>130000</v>
      </c>
      <c r="C25" s="1" t="s">
        <v>5</v>
      </c>
      <c r="D25" s="2">
        <v>55856</v>
      </c>
      <c r="E25" s="1" t="s">
        <v>5</v>
      </c>
      <c r="F25" s="2">
        <v>71361</v>
      </c>
      <c r="G25" s="1" t="s">
        <v>6</v>
      </c>
      <c r="H25" s="5">
        <f t="shared" si="1"/>
        <v>63608.5</v>
      </c>
    </row>
    <row r="26" spans="1:13" x14ac:dyDescent="0.3">
      <c r="A26" s="1" t="s">
        <v>23</v>
      </c>
      <c r="B26" s="2">
        <v>841398</v>
      </c>
      <c r="C26" s="1" t="s">
        <v>5</v>
      </c>
      <c r="D26" s="2">
        <v>899097</v>
      </c>
      <c r="E26" s="1" t="s">
        <v>5</v>
      </c>
      <c r="F26" s="2">
        <v>890428</v>
      </c>
      <c r="G26" s="1" t="s">
        <v>6</v>
      </c>
      <c r="H26" s="5">
        <f t="shared" si="1"/>
        <v>894762.5</v>
      </c>
    </row>
    <row r="27" spans="1:13" x14ac:dyDescent="0.3">
      <c r="H27"/>
    </row>
    <row r="28" spans="1:13" x14ac:dyDescent="0.3">
      <c r="A28" s="1" t="s">
        <v>28</v>
      </c>
      <c r="B28" s="2">
        <f>SUM(B22:B26)</f>
        <v>21134343</v>
      </c>
      <c r="D28" s="2">
        <f>SUM(D22:D26)</f>
        <v>24838739</v>
      </c>
      <c r="F28" s="2">
        <f>SUM(F22:F26)</f>
        <v>24876981</v>
      </c>
      <c r="H28" s="2">
        <f>SUM(H22:H26)</f>
        <v>24857860</v>
      </c>
    </row>
    <row r="30" spans="1:13" x14ac:dyDescent="0.3">
      <c r="A30" s="1" t="s">
        <v>29</v>
      </c>
      <c r="B30" s="2"/>
      <c r="K30" s="2"/>
      <c r="L30" s="1"/>
      <c r="M30" s="1"/>
    </row>
    <row r="31" spans="1:13" x14ac:dyDescent="0.3">
      <c r="A31" s="1" t="s">
        <v>16</v>
      </c>
      <c r="B31" s="2"/>
      <c r="D31" s="2">
        <f>SUM(D12+D15-D28)</f>
        <v>-12979183</v>
      </c>
      <c r="F31" s="2">
        <f>SUM(F12+F15-F28)</f>
        <v>-12171762.833333334</v>
      </c>
      <c r="H31" s="2">
        <f>SUM(H12+H15-H28)</f>
        <v>-12575472.916666668</v>
      </c>
      <c r="K31" s="2"/>
      <c r="L31" s="1"/>
      <c r="M31" s="1"/>
    </row>
    <row r="32" spans="1:13" x14ac:dyDescent="0.3">
      <c r="A32" s="1" t="s">
        <v>17</v>
      </c>
      <c r="B32" s="2"/>
      <c r="D32" s="2">
        <f>SUM(D13+D15-D28)</f>
        <v>-14899035</v>
      </c>
      <c r="F32" s="2">
        <f>SUM(F13+F15-F28)</f>
        <v>-14373502.222222224</v>
      </c>
      <c r="H32" s="2">
        <f>SUM(H13+H15-H28)</f>
        <v>-14636268.611111112</v>
      </c>
      <c r="K32" s="1"/>
      <c r="L32" s="1"/>
      <c r="M32" s="1"/>
    </row>
    <row r="34" spans="1:13" x14ac:dyDescent="0.3">
      <c r="A34" s="1" t="s">
        <v>30</v>
      </c>
      <c r="B34" s="8"/>
      <c r="D34" s="8">
        <v>280374</v>
      </c>
      <c r="F34" s="1">
        <v>280374</v>
      </c>
      <c r="H34" s="1">
        <v>280374</v>
      </c>
      <c r="K34" s="2"/>
      <c r="L34" s="1"/>
      <c r="M34" s="1"/>
    </row>
    <row r="35" spans="1:13" x14ac:dyDescent="0.3">
      <c r="A35" s="1" t="s">
        <v>16</v>
      </c>
      <c r="B35" s="2"/>
      <c r="D35" s="2">
        <f>SUM(D31/D34)</f>
        <v>-46.292391591231713</v>
      </c>
      <c r="F35" s="2">
        <f>SUM(F31/F34)</f>
        <v>-43.412594724665389</v>
      </c>
      <c r="H35" s="2">
        <f>SUM(H31/H34)</f>
        <v>-44.852493157948551</v>
      </c>
      <c r="K35" s="1"/>
      <c r="L35" s="1"/>
      <c r="M35" s="1"/>
    </row>
    <row r="36" spans="1:13" x14ac:dyDescent="0.3">
      <c r="A36" s="1" t="s">
        <v>17</v>
      </c>
      <c r="B36" s="2"/>
      <c r="D36" s="2">
        <f>SUM(D32/D34)</f>
        <v>-53.13985961608423</v>
      </c>
      <c r="F36" s="2">
        <f>SUM(F32/F34)</f>
        <v>-51.265460499982964</v>
      </c>
      <c r="H36" s="2">
        <f>SUM(H32/H34)</f>
        <v>-52.202660058033601</v>
      </c>
      <c r="K36" s="2"/>
      <c r="L36" s="1"/>
      <c r="M36" s="3"/>
    </row>
    <row r="37" spans="1:13" x14ac:dyDescent="0.3">
      <c r="K37" s="2"/>
      <c r="L37" s="1"/>
      <c r="M37" s="3"/>
    </row>
    <row r="39" spans="1:13" x14ac:dyDescent="0.3">
      <c r="A39" s="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757A5-9272-4B6E-A060-6E35B55AA6D9}">
  <dimension ref="A1:AD44"/>
  <sheetViews>
    <sheetView tabSelected="1" topLeftCell="A5" zoomScaleNormal="100" workbookViewId="0">
      <pane xSplit="2" ySplit="4" topLeftCell="C9" activePane="bottomRight" state="frozen"/>
      <selection activeCell="A5" sqref="A5"/>
      <selection pane="topRight" activeCell="C5" sqref="C5"/>
      <selection pane="bottomLeft" activeCell="A9" sqref="A9"/>
      <selection pane="bottomRight" activeCell="B18" sqref="B18"/>
    </sheetView>
  </sheetViews>
  <sheetFormatPr defaultRowHeight="14.4" x14ac:dyDescent="0.3"/>
  <cols>
    <col min="1" max="1" width="40.33203125" bestFit="1" customWidth="1"/>
    <col min="2" max="2" width="40.33203125" customWidth="1"/>
    <col min="3" max="3" width="11" style="9" customWidth="1"/>
    <col min="4" max="4" width="10.88671875" bestFit="1" customWidth="1"/>
    <col min="5" max="5" width="10.88671875" customWidth="1"/>
    <col min="6" max="6" width="12.109375" bestFit="1" customWidth="1"/>
    <col min="7" max="7" width="10.77734375" style="9" customWidth="1"/>
    <col min="8" max="8" width="2.6640625" customWidth="1"/>
    <col min="9" max="9" width="8.5546875" bestFit="1" customWidth="1"/>
    <col min="10" max="10" width="12.109375" bestFit="1" customWidth="1"/>
    <col min="11" max="11" width="9.109375" style="9" bestFit="1" customWidth="1"/>
    <col min="12" max="12" width="8.6640625" customWidth="1"/>
    <col min="13" max="13" width="12.109375" bestFit="1" customWidth="1"/>
    <col min="14" max="14" width="6.109375" style="9" bestFit="1" customWidth="1"/>
    <col min="15" max="15" width="9.5546875" customWidth="1"/>
    <col min="16" max="16" width="12.109375" bestFit="1" customWidth="1"/>
    <col min="17" max="17" width="8.88671875" style="9"/>
    <col min="18" max="18" width="11.77734375" bestFit="1" customWidth="1"/>
    <col min="19" max="19" width="12.109375" bestFit="1" customWidth="1"/>
    <col min="20" max="20" width="32.77734375" style="9" bestFit="1" customWidth="1"/>
    <col min="21" max="21" width="11.77734375" bestFit="1" customWidth="1"/>
    <col min="22" max="22" width="12.109375" bestFit="1" customWidth="1"/>
    <col min="23" max="23" width="32.77734375" bestFit="1" customWidth="1"/>
    <col min="24" max="24" width="14.6640625" customWidth="1"/>
    <col min="25" max="25" width="12.6640625" customWidth="1"/>
    <col min="26" max="26" width="15.88671875" customWidth="1"/>
    <col min="27" max="27" width="32.77734375" customWidth="1"/>
    <col min="28" max="28" width="10.6640625" bestFit="1" customWidth="1"/>
    <col min="29" max="29" width="13.77734375" customWidth="1"/>
    <col min="30" max="30" width="32.77734375" customWidth="1"/>
  </cols>
  <sheetData>
    <row r="1" spans="1:30" x14ac:dyDescent="0.3">
      <c r="A1" s="31" t="s">
        <v>85</v>
      </c>
      <c r="B1" s="32"/>
      <c r="C1" s="35"/>
    </row>
    <row r="2" spans="1:30" x14ac:dyDescent="0.3">
      <c r="A2" t="s">
        <v>90</v>
      </c>
    </row>
    <row r="3" spans="1:30" x14ac:dyDescent="0.3">
      <c r="A3" t="s">
        <v>91</v>
      </c>
    </row>
    <row r="4" spans="1:30" x14ac:dyDescent="0.3">
      <c r="A4" t="s">
        <v>89</v>
      </c>
    </row>
    <row r="5" spans="1:30" x14ac:dyDescent="0.3">
      <c r="A5" t="s">
        <v>88</v>
      </c>
    </row>
    <row r="6" spans="1:30" x14ac:dyDescent="0.3">
      <c r="A6" t="s">
        <v>84</v>
      </c>
    </row>
    <row r="7" spans="1:30" x14ac:dyDescent="0.3">
      <c r="A7" t="s">
        <v>38</v>
      </c>
    </row>
    <row r="8" spans="1:30" x14ac:dyDescent="0.3">
      <c r="A8" s="26"/>
      <c r="B8" s="26" t="s">
        <v>98</v>
      </c>
      <c r="C8" s="36" t="s">
        <v>96</v>
      </c>
      <c r="D8" s="26"/>
      <c r="E8" s="26"/>
      <c r="F8" s="27">
        <v>2017</v>
      </c>
      <c r="G8" s="28"/>
      <c r="H8" s="29"/>
      <c r="I8" s="26"/>
      <c r="J8" s="27">
        <v>2018</v>
      </c>
      <c r="K8" s="28"/>
      <c r="L8" s="26"/>
      <c r="M8" s="27">
        <v>2019</v>
      </c>
      <c r="N8" s="28"/>
      <c r="O8" s="26"/>
      <c r="P8" s="27">
        <v>2020</v>
      </c>
      <c r="Q8" s="28"/>
      <c r="R8" s="29"/>
      <c r="S8" s="27">
        <v>2021</v>
      </c>
      <c r="T8" s="28"/>
      <c r="U8" s="29"/>
      <c r="V8" s="27">
        <v>2022</v>
      </c>
      <c r="W8" s="27"/>
      <c r="X8" s="29"/>
      <c r="Y8" s="27">
        <v>2023</v>
      </c>
      <c r="Z8" s="27"/>
      <c r="AA8" s="27"/>
      <c r="AB8" s="27"/>
      <c r="AC8" s="27">
        <v>2024</v>
      </c>
      <c r="AD8" s="27"/>
    </row>
    <row r="9" spans="1:30" x14ac:dyDescent="0.3">
      <c r="A9" s="11" t="s">
        <v>92</v>
      </c>
      <c r="B9" s="11"/>
      <c r="C9" s="37"/>
      <c r="D9" s="10"/>
      <c r="E9" s="10"/>
      <c r="F9" s="10"/>
      <c r="G9" s="12" t="s">
        <v>39</v>
      </c>
      <c r="H9" s="10"/>
      <c r="I9" s="10"/>
      <c r="J9" s="10"/>
      <c r="K9" s="12" t="s">
        <v>39</v>
      </c>
      <c r="L9" s="10"/>
      <c r="M9" s="10"/>
      <c r="N9" s="12" t="s">
        <v>39</v>
      </c>
      <c r="O9" s="10"/>
      <c r="P9" s="10"/>
      <c r="Q9" s="12" t="s">
        <v>39</v>
      </c>
      <c r="R9" s="10"/>
      <c r="S9" s="10"/>
      <c r="T9" s="12" t="s">
        <v>39</v>
      </c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 spans="1:30" x14ac:dyDescent="0.3">
      <c r="A10" s="10" t="s">
        <v>40</v>
      </c>
      <c r="B10" s="13">
        <v>2740000</v>
      </c>
      <c r="C10" s="12" t="s">
        <v>6</v>
      </c>
      <c r="D10" s="10"/>
      <c r="E10" s="10"/>
      <c r="F10" s="13">
        <v>3057736</v>
      </c>
      <c r="G10" s="14" t="s">
        <v>6</v>
      </c>
      <c r="H10" s="13"/>
      <c r="I10" s="10"/>
      <c r="J10" s="13">
        <v>2534130</v>
      </c>
      <c r="K10" s="14" t="s">
        <v>5</v>
      </c>
      <c r="L10" s="10"/>
      <c r="M10" s="13">
        <v>2200000</v>
      </c>
      <c r="N10" s="12" t="s">
        <v>6</v>
      </c>
      <c r="O10" s="10"/>
      <c r="P10" s="13">
        <v>1025000</v>
      </c>
      <c r="Q10" s="14" t="s">
        <v>2</v>
      </c>
      <c r="R10" s="13"/>
      <c r="S10" s="13">
        <v>1386959</v>
      </c>
      <c r="T10" s="14" t="s">
        <v>41</v>
      </c>
      <c r="U10" s="13"/>
      <c r="V10" s="13">
        <v>2131890</v>
      </c>
      <c r="W10" s="13" t="s">
        <v>42</v>
      </c>
      <c r="X10" s="13"/>
      <c r="Y10" s="13">
        <v>2119774</v>
      </c>
      <c r="Z10" s="13" t="s">
        <v>42</v>
      </c>
      <c r="AA10" s="13"/>
      <c r="AB10" s="13"/>
      <c r="AC10" s="13">
        <v>2239983</v>
      </c>
      <c r="AD10" s="13" t="s">
        <v>43</v>
      </c>
    </row>
    <row r="11" spans="1:30" x14ac:dyDescent="0.3">
      <c r="A11" s="10" t="s">
        <v>44</v>
      </c>
      <c r="B11" s="13"/>
      <c r="C11" s="12"/>
      <c r="D11" s="10"/>
      <c r="E11" s="10"/>
      <c r="F11" s="13"/>
      <c r="G11" s="14"/>
      <c r="H11" s="13"/>
      <c r="I11" s="10"/>
      <c r="J11" s="13"/>
      <c r="K11" s="14"/>
      <c r="L11" s="10"/>
      <c r="M11" s="13"/>
      <c r="N11" s="12"/>
      <c r="O11" s="10"/>
      <c r="P11" s="13"/>
      <c r="Q11" s="14"/>
      <c r="R11" s="13"/>
      <c r="S11" s="13"/>
      <c r="T11" s="14"/>
      <c r="U11" s="13"/>
      <c r="V11" s="13"/>
      <c r="W11" s="13"/>
      <c r="X11" s="13"/>
      <c r="Y11" s="13"/>
      <c r="Z11" s="13"/>
      <c r="AA11" s="13"/>
      <c r="AB11" s="13"/>
      <c r="AC11" s="13"/>
      <c r="AD11" s="13"/>
    </row>
    <row r="12" spans="1:30" x14ac:dyDescent="0.3">
      <c r="A12" s="10" t="s">
        <v>45</v>
      </c>
      <c r="B12" s="13">
        <v>5150000</v>
      </c>
      <c r="C12" s="12" t="s">
        <v>6</v>
      </c>
      <c r="D12" s="10"/>
      <c r="E12" s="10"/>
      <c r="F12" s="13">
        <v>5319413</v>
      </c>
      <c r="G12" s="14" t="s">
        <v>6</v>
      </c>
      <c r="H12" s="13"/>
      <c r="I12" s="15">
        <f>SUM(I13:I14)</f>
        <v>5150000</v>
      </c>
      <c r="J12" s="13">
        <v>5150000</v>
      </c>
      <c r="K12" s="9" t="s">
        <v>46</v>
      </c>
      <c r="L12" s="15">
        <f>SUM(L13:L14)</f>
        <v>6470000</v>
      </c>
      <c r="M12" s="13">
        <v>6470000</v>
      </c>
      <c r="N12" s="12"/>
      <c r="O12" s="15">
        <f>SUM(O13:O14)</f>
        <v>9293021</v>
      </c>
      <c r="P12" s="13">
        <v>9293021</v>
      </c>
      <c r="Q12" s="14"/>
      <c r="R12" s="13">
        <v>8362323</v>
      </c>
      <c r="S12" s="13">
        <v>8362323</v>
      </c>
      <c r="T12" s="14" t="s">
        <v>47</v>
      </c>
      <c r="U12" s="13"/>
      <c r="V12" s="13">
        <v>7135628</v>
      </c>
      <c r="W12" s="14" t="s">
        <v>48</v>
      </c>
      <c r="X12" s="13"/>
      <c r="Y12" s="13">
        <v>7632823</v>
      </c>
      <c r="Z12" s="13" t="s">
        <v>49</v>
      </c>
      <c r="AA12" s="13"/>
      <c r="AB12" s="13"/>
      <c r="AC12" s="13">
        <v>8970865</v>
      </c>
      <c r="AD12" s="13" t="s">
        <v>50</v>
      </c>
    </row>
    <row r="13" spans="1:30" x14ac:dyDescent="0.3">
      <c r="A13" s="10"/>
      <c r="B13" s="33"/>
      <c r="C13" s="12"/>
      <c r="D13" s="10" t="s">
        <v>51</v>
      </c>
      <c r="E13" s="10"/>
      <c r="F13" s="13"/>
      <c r="G13" s="14"/>
      <c r="H13" s="13"/>
      <c r="I13" s="15">
        <v>4633659</v>
      </c>
      <c r="J13" s="13"/>
      <c r="K13" s="14" t="s">
        <v>5</v>
      </c>
      <c r="L13" s="15">
        <v>5928759</v>
      </c>
      <c r="M13" s="13"/>
      <c r="N13" s="12" t="s">
        <v>6</v>
      </c>
      <c r="O13" s="15">
        <v>8717182</v>
      </c>
      <c r="P13" s="13"/>
      <c r="Q13" s="14" t="s">
        <v>2</v>
      </c>
      <c r="R13" s="13"/>
      <c r="S13" s="13"/>
      <c r="T13" s="14" t="s">
        <v>52</v>
      </c>
      <c r="U13" s="13"/>
      <c r="V13" s="13"/>
      <c r="W13" s="14" t="s">
        <v>53</v>
      </c>
      <c r="X13" s="13"/>
      <c r="Y13" s="13"/>
      <c r="Z13" s="13" t="s">
        <v>54</v>
      </c>
      <c r="AA13" s="13"/>
      <c r="AB13" s="13"/>
      <c r="AC13" s="13"/>
      <c r="AD13" s="13"/>
    </row>
    <row r="14" spans="1:30" x14ac:dyDescent="0.3">
      <c r="A14" s="10"/>
      <c r="B14" s="33"/>
      <c r="C14" s="12"/>
      <c r="D14" s="10" t="s">
        <v>55</v>
      </c>
      <c r="E14" s="10"/>
      <c r="F14" s="13"/>
      <c r="G14" s="14"/>
      <c r="H14" s="13"/>
      <c r="I14" s="15">
        <v>516341</v>
      </c>
      <c r="J14" s="13"/>
      <c r="K14" s="14" t="s">
        <v>5</v>
      </c>
      <c r="L14" s="15">
        <v>541241</v>
      </c>
      <c r="M14" s="13"/>
      <c r="N14" s="12" t="s">
        <v>6</v>
      </c>
      <c r="O14" s="15">
        <v>575839</v>
      </c>
      <c r="P14" s="13"/>
      <c r="Q14" s="14" t="s">
        <v>2</v>
      </c>
      <c r="R14" s="13"/>
      <c r="S14" s="13"/>
      <c r="T14" s="14" t="s">
        <v>52</v>
      </c>
      <c r="U14" s="13"/>
      <c r="V14" s="13"/>
      <c r="W14" s="14" t="s">
        <v>53</v>
      </c>
      <c r="X14" s="13"/>
      <c r="Y14" s="13"/>
      <c r="Z14" s="13" t="s">
        <v>54</v>
      </c>
      <c r="AA14" s="13"/>
      <c r="AB14" s="13"/>
      <c r="AC14" s="13"/>
      <c r="AD14" s="13"/>
    </row>
    <row r="15" spans="1:30" x14ac:dyDescent="0.3">
      <c r="A15" s="10"/>
      <c r="B15" s="33"/>
      <c r="C15" s="12"/>
      <c r="D15" s="10"/>
      <c r="E15" s="10"/>
      <c r="F15" s="13"/>
      <c r="G15" s="14"/>
      <c r="H15" s="13"/>
      <c r="I15" s="10"/>
      <c r="J15" s="13"/>
      <c r="K15" s="14"/>
      <c r="L15" s="10"/>
      <c r="M15" s="13"/>
      <c r="N15" s="12"/>
      <c r="O15" s="10"/>
      <c r="P15" s="13"/>
      <c r="Q15" s="14"/>
      <c r="R15" s="13"/>
      <c r="S15" s="13"/>
      <c r="T15" s="14"/>
      <c r="U15" s="13"/>
      <c r="V15" s="13"/>
      <c r="W15" s="13"/>
      <c r="X15" s="13"/>
      <c r="Y15" s="13"/>
      <c r="Z15" s="13"/>
      <c r="AA15" s="13"/>
      <c r="AB15" s="13"/>
      <c r="AC15" s="13"/>
      <c r="AD15" s="13"/>
    </row>
    <row r="16" spans="1:30" x14ac:dyDescent="0.3">
      <c r="A16" s="10" t="s">
        <v>56</v>
      </c>
      <c r="B16" s="13">
        <v>1510000</v>
      </c>
      <c r="C16" s="12" t="s">
        <v>6</v>
      </c>
      <c r="D16" s="10"/>
      <c r="E16" s="10"/>
      <c r="F16" s="13">
        <v>2098525</v>
      </c>
      <c r="G16" s="14" t="s">
        <v>6</v>
      </c>
      <c r="H16" s="13"/>
      <c r="I16" s="10"/>
      <c r="J16" s="13">
        <v>2742242</v>
      </c>
      <c r="K16" s="14" t="s">
        <v>5</v>
      </c>
      <c r="L16" s="10"/>
      <c r="M16" s="13">
        <v>3027943</v>
      </c>
      <c r="N16" s="12" t="s">
        <v>6</v>
      </c>
      <c r="O16" s="10"/>
      <c r="P16" s="13">
        <v>419036</v>
      </c>
      <c r="Q16" s="14" t="s">
        <v>2</v>
      </c>
      <c r="R16" s="13"/>
      <c r="S16" s="13">
        <v>865894</v>
      </c>
      <c r="T16" s="14" t="s">
        <v>6</v>
      </c>
      <c r="U16" s="13"/>
      <c r="V16" s="13">
        <v>3451298</v>
      </c>
      <c r="W16" s="13" t="s">
        <v>57</v>
      </c>
      <c r="X16" s="13"/>
      <c r="Y16" s="13">
        <v>3869678</v>
      </c>
      <c r="Z16" s="13"/>
      <c r="AA16" s="13"/>
      <c r="AB16" s="13"/>
      <c r="AC16" s="13">
        <v>3847826</v>
      </c>
      <c r="AD16" s="13" t="s">
        <v>50</v>
      </c>
    </row>
    <row r="17" spans="1:30" x14ac:dyDescent="0.3">
      <c r="A17" s="10" t="s">
        <v>58</v>
      </c>
      <c r="B17" s="13">
        <v>600000</v>
      </c>
      <c r="C17" s="12" t="s">
        <v>6</v>
      </c>
      <c r="D17" s="10"/>
      <c r="E17" s="10"/>
      <c r="F17" s="13">
        <v>514908</v>
      </c>
      <c r="G17" s="14" t="s">
        <v>6</v>
      </c>
      <c r="H17" s="13"/>
      <c r="I17" s="10"/>
      <c r="J17" s="13">
        <v>656603</v>
      </c>
      <c r="K17" s="14" t="s">
        <v>5</v>
      </c>
      <c r="L17" s="10"/>
      <c r="M17" s="13">
        <v>870719</v>
      </c>
      <c r="N17" s="12" t="s">
        <v>6</v>
      </c>
      <c r="O17" s="10"/>
      <c r="P17" s="13">
        <v>607548</v>
      </c>
      <c r="Q17" s="14" t="s">
        <v>2</v>
      </c>
      <c r="R17" s="13"/>
      <c r="S17" s="13">
        <v>655745</v>
      </c>
      <c r="T17" s="14" t="s">
        <v>6</v>
      </c>
      <c r="U17" s="13"/>
      <c r="V17" s="13">
        <v>805888</v>
      </c>
      <c r="W17" s="13" t="s">
        <v>57</v>
      </c>
      <c r="X17" s="13"/>
      <c r="Y17" s="13">
        <v>822961</v>
      </c>
      <c r="Z17" s="13"/>
      <c r="AA17" s="13"/>
      <c r="AB17" s="13"/>
      <c r="AC17" s="13">
        <v>728811</v>
      </c>
      <c r="AD17" s="13" t="s">
        <v>50</v>
      </c>
    </row>
    <row r="18" spans="1:30" x14ac:dyDescent="0.3">
      <c r="A18" s="10" t="s">
        <v>59</v>
      </c>
      <c r="B18" s="13">
        <v>6400000</v>
      </c>
      <c r="C18" s="12" t="s">
        <v>6</v>
      </c>
      <c r="D18" s="10"/>
      <c r="E18" s="15">
        <f>SUM(F34-E24)</f>
        <v>6963761</v>
      </c>
      <c r="F18" s="13">
        <v>6963761</v>
      </c>
      <c r="G18" s="14" t="s">
        <v>60</v>
      </c>
      <c r="H18" s="13"/>
      <c r="I18" s="15">
        <f>SUM(I19:I20)</f>
        <v>7599908</v>
      </c>
      <c r="J18" s="13">
        <v>7599908</v>
      </c>
      <c r="K18" s="14"/>
      <c r="L18" s="15">
        <f>SUM(L19:L20)</f>
        <v>6136958</v>
      </c>
      <c r="M18" s="13">
        <v>6136958</v>
      </c>
      <c r="N18" s="12"/>
      <c r="O18" s="15">
        <f>SUM(O19:O20)</f>
        <v>6503913</v>
      </c>
      <c r="P18" s="13">
        <v>6503913</v>
      </c>
      <c r="Q18" s="14"/>
      <c r="R18" s="15">
        <f>SUM(S34-R24)</f>
        <v>7420759</v>
      </c>
      <c r="S18" s="13">
        <v>7420759</v>
      </c>
      <c r="T18" s="14" t="s">
        <v>61</v>
      </c>
      <c r="U18" s="15">
        <f>SUM(V34-U24)</f>
        <v>5306610</v>
      </c>
      <c r="V18" s="13">
        <v>5306610</v>
      </c>
      <c r="W18" s="14" t="s">
        <v>61</v>
      </c>
      <c r="X18" s="13">
        <f>SUM(Y34-X24)</f>
        <v>4412915</v>
      </c>
      <c r="Y18" s="13">
        <v>4412915</v>
      </c>
      <c r="Z18" s="14" t="s">
        <v>61</v>
      </c>
      <c r="AA18" s="13"/>
      <c r="AB18" s="13">
        <f>SUM(AC34-AB24)</f>
        <v>3104301</v>
      </c>
      <c r="AC18" s="13">
        <v>3104301</v>
      </c>
      <c r="AD18" s="13"/>
    </row>
    <row r="19" spans="1:30" x14ac:dyDescent="0.3">
      <c r="A19" s="10"/>
      <c r="B19" s="33"/>
      <c r="C19" s="12"/>
      <c r="D19" s="10" t="s">
        <v>62</v>
      </c>
      <c r="E19" s="10"/>
      <c r="F19" s="13"/>
      <c r="G19" s="14"/>
      <c r="H19" s="13"/>
      <c r="I19" s="15">
        <v>5816952</v>
      </c>
      <c r="J19" s="13"/>
      <c r="K19" s="14" t="s">
        <v>5</v>
      </c>
      <c r="L19" s="15">
        <v>4268021</v>
      </c>
      <c r="M19" s="13"/>
      <c r="N19" s="12" t="s">
        <v>6</v>
      </c>
      <c r="O19" s="15">
        <v>4515505</v>
      </c>
      <c r="P19" s="13"/>
      <c r="Q19" s="14" t="s">
        <v>2</v>
      </c>
      <c r="R19" s="13">
        <v>3482474</v>
      </c>
      <c r="S19" s="13"/>
      <c r="T19" s="14" t="s">
        <v>63</v>
      </c>
      <c r="U19" s="13">
        <v>4122799</v>
      </c>
      <c r="V19" s="13"/>
      <c r="W19" s="13" t="s">
        <v>64</v>
      </c>
      <c r="X19" s="13">
        <v>4267708</v>
      </c>
      <c r="Y19" s="13"/>
      <c r="Z19" s="13" t="s">
        <v>64</v>
      </c>
      <c r="AA19" s="13"/>
      <c r="AB19" s="13">
        <v>2644753</v>
      </c>
      <c r="AC19" s="13"/>
      <c r="AD19" s="13" t="s">
        <v>65</v>
      </c>
    </row>
    <row r="20" spans="1:30" x14ac:dyDescent="0.3">
      <c r="A20" s="10"/>
      <c r="B20" s="33"/>
      <c r="C20" s="12"/>
      <c r="D20" s="10" t="s">
        <v>55</v>
      </c>
      <c r="E20" s="15">
        <v>404288</v>
      </c>
      <c r="F20" s="13"/>
      <c r="G20" s="14" t="s">
        <v>6</v>
      </c>
      <c r="H20" s="13"/>
      <c r="I20" s="15">
        <v>1782956</v>
      </c>
      <c r="J20" s="13"/>
      <c r="K20" s="14" t="s">
        <v>5</v>
      </c>
      <c r="L20" s="15">
        <v>1868937</v>
      </c>
      <c r="M20" s="13"/>
      <c r="N20" s="12" t="s">
        <v>6</v>
      </c>
      <c r="O20" s="15">
        <v>1988408</v>
      </c>
      <c r="P20" s="13"/>
      <c r="Q20" s="14" t="s">
        <v>2</v>
      </c>
      <c r="R20" s="13">
        <v>2119549</v>
      </c>
      <c r="T20" s="13" t="s">
        <v>66</v>
      </c>
      <c r="U20" s="13">
        <v>2509272</v>
      </c>
      <c r="V20" s="13"/>
      <c r="W20" s="13" t="s">
        <v>67</v>
      </c>
      <c r="X20" s="13">
        <v>2597469</v>
      </c>
      <c r="Y20" s="13"/>
      <c r="Z20" s="13" t="s">
        <v>67</v>
      </c>
      <c r="AA20" s="13"/>
      <c r="AB20" s="13">
        <v>1954115</v>
      </c>
      <c r="AC20" s="13"/>
      <c r="AD20" s="13" t="s">
        <v>50</v>
      </c>
    </row>
    <row r="21" spans="1:30" x14ac:dyDescent="0.3">
      <c r="A21" s="10" t="s">
        <v>68</v>
      </c>
      <c r="B21" s="13"/>
      <c r="C21" s="12"/>
      <c r="D21" s="10"/>
      <c r="E21" s="10"/>
      <c r="F21" s="13">
        <v>130000</v>
      </c>
      <c r="G21" s="14" t="s">
        <v>69</v>
      </c>
      <c r="H21" s="13"/>
      <c r="I21" s="10"/>
      <c r="J21" s="13">
        <v>55856</v>
      </c>
      <c r="K21" s="14" t="s">
        <v>5</v>
      </c>
      <c r="L21" s="10"/>
      <c r="M21" s="13">
        <v>71361</v>
      </c>
      <c r="N21" s="12" t="s">
        <v>6</v>
      </c>
      <c r="O21" s="10"/>
      <c r="P21" s="13">
        <v>71361</v>
      </c>
      <c r="Q21" s="14" t="s">
        <v>2</v>
      </c>
      <c r="R21" s="13"/>
      <c r="S21" s="13">
        <v>71361</v>
      </c>
      <c r="T21" s="14" t="s">
        <v>70</v>
      </c>
      <c r="U21" s="13"/>
      <c r="V21" s="13">
        <v>75000</v>
      </c>
      <c r="W21" s="14" t="s">
        <v>71</v>
      </c>
      <c r="X21" s="13"/>
      <c r="Y21" s="13">
        <v>75000</v>
      </c>
      <c r="Z21" s="14" t="s">
        <v>71</v>
      </c>
      <c r="AA21" s="13"/>
      <c r="AB21" s="5"/>
      <c r="AC21" s="13">
        <v>80000</v>
      </c>
      <c r="AD21" s="14" t="s">
        <v>72</v>
      </c>
    </row>
    <row r="22" spans="1:30" x14ac:dyDescent="0.3">
      <c r="A22" s="10" t="s">
        <v>14</v>
      </c>
      <c r="B22" s="13">
        <v>6100000</v>
      </c>
      <c r="C22" s="12" t="s">
        <v>6</v>
      </c>
      <c r="D22" s="10"/>
      <c r="E22" s="10"/>
      <c r="F22" s="13">
        <v>3050000</v>
      </c>
      <c r="G22" s="14" t="s">
        <v>6</v>
      </c>
      <c r="H22" s="13"/>
      <c r="I22" s="10"/>
      <c r="J22" s="13">
        <v>6100000</v>
      </c>
      <c r="K22" s="14" t="s">
        <v>5</v>
      </c>
      <c r="L22" s="10"/>
      <c r="M22" s="13">
        <v>6100000</v>
      </c>
      <c r="N22" s="12" t="s">
        <v>6</v>
      </c>
      <c r="O22" s="10"/>
      <c r="P22" s="13">
        <v>6100000</v>
      </c>
      <c r="Q22" s="14" t="s">
        <v>2</v>
      </c>
      <c r="R22" s="13"/>
      <c r="S22" s="13">
        <v>6100000</v>
      </c>
      <c r="T22" s="14" t="s">
        <v>5</v>
      </c>
      <c r="U22" s="13"/>
      <c r="V22" s="13">
        <v>6100000</v>
      </c>
      <c r="W22" s="13" t="s">
        <v>1</v>
      </c>
      <c r="X22" s="13"/>
      <c r="Y22" s="13">
        <v>6100000</v>
      </c>
      <c r="Z22" s="13" t="s">
        <v>1</v>
      </c>
      <c r="AA22" s="13"/>
      <c r="AC22" s="13">
        <v>6100000</v>
      </c>
      <c r="AD22" s="13" t="s">
        <v>43</v>
      </c>
    </row>
    <row r="23" spans="1:30" x14ac:dyDescent="0.3">
      <c r="A23" s="10"/>
      <c r="B23" s="13"/>
      <c r="C23" s="12"/>
      <c r="D23" s="10"/>
      <c r="E23" s="13" t="s">
        <v>73</v>
      </c>
      <c r="F23" s="13"/>
      <c r="G23" s="14"/>
      <c r="H23" s="13"/>
      <c r="I23" s="10"/>
      <c r="J23" s="13"/>
      <c r="K23" s="14"/>
      <c r="L23" s="10"/>
      <c r="M23" s="13"/>
      <c r="N23" s="12"/>
      <c r="O23" s="10"/>
      <c r="P23" s="13"/>
      <c r="Q23" s="14"/>
      <c r="R23" s="13" t="s">
        <v>73</v>
      </c>
      <c r="S23" s="13"/>
      <c r="T23" s="14"/>
      <c r="U23" s="13" t="s">
        <v>73</v>
      </c>
      <c r="V23" s="13"/>
      <c r="W23" s="13"/>
      <c r="X23" s="13"/>
      <c r="Y23" s="13"/>
      <c r="Z23" s="13"/>
      <c r="AA23" s="13"/>
      <c r="AB23" s="13"/>
      <c r="AC23" s="13"/>
      <c r="AD23" s="13"/>
    </row>
    <row r="24" spans="1:30" x14ac:dyDescent="0.3">
      <c r="A24" s="16" t="s">
        <v>93</v>
      </c>
      <c r="B24" s="13">
        <f>SUM(B10:B22)</f>
        <v>22500000</v>
      </c>
      <c r="C24" s="12" t="s">
        <v>6</v>
      </c>
      <c r="D24" s="10"/>
      <c r="E24" s="17">
        <f>SUM(F10:F17)+SUM(F21:F22)</f>
        <v>14170582</v>
      </c>
      <c r="F24" s="17">
        <f>SUM(F10:F22)</f>
        <v>21134343</v>
      </c>
      <c r="G24" s="18"/>
      <c r="H24" s="17"/>
      <c r="I24" s="10"/>
      <c r="J24" s="17">
        <f>SUM(J10:J22)</f>
        <v>24838739</v>
      </c>
      <c r="K24" s="18"/>
      <c r="L24" s="10"/>
      <c r="M24" s="17">
        <f>SUM(M10:M22)</f>
        <v>24876981</v>
      </c>
      <c r="N24" s="12"/>
      <c r="O24" s="10"/>
      <c r="P24" s="17">
        <f>SUM(P10:P22)</f>
        <v>24019879</v>
      </c>
      <c r="Q24" s="18"/>
      <c r="R24" s="17">
        <f>SUM(S10:S17)+SUM(S21:S22)</f>
        <v>17442282</v>
      </c>
      <c r="S24" s="17">
        <f>SUM(S10:S22)</f>
        <v>24863041</v>
      </c>
      <c r="T24" s="18"/>
      <c r="U24" s="17">
        <f>SUM(V10:V17)+SUM(V21:V22)</f>
        <v>19699704</v>
      </c>
      <c r="V24" s="17">
        <f>SUM(V10:V22)</f>
        <v>25006314</v>
      </c>
      <c r="W24" s="17"/>
      <c r="X24" s="17">
        <f>SUM(Y10:Y17)+SUM(Y21:Y22)</f>
        <v>20620236</v>
      </c>
      <c r="Y24" s="17">
        <f>SUM(Y10:Y22)</f>
        <v>25033151</v>
      </c>
      <c r="Z24" s="17"/>
      <c r="AA24" s="17"/>
      <c r="AB24" s="17">
        <f>SUM(AC10:AC17)+SUM(AC21:AC22)</f>
        <v>21967485</v>
      </c>
      <c r="AC24" s="17">
        <f>SUM(AC10:AC22)</f>
        <v>25071786</v>
      </c>
      <c r="AD24" s="17"/>
    </row>
    <row r="25" spans="1:30" x14ac:dyDescent="0.3">
      <c r="A25" s="10" t="s">
        <v>74</v>
      </c>
      <c r="B25" s="13">
        <f>SUM(B10:B18)</f>
        <v>16400000</v>
      </c>
      <c r="C25" s="12"/>
      <c r="D25" s="10"/>
      <c r="E25" s="10"/>
      <c r="F25" s="13">
        <f>SUM(F10:F18)</f>
        <v>17954343</v>
      </c>
      <c r="G25" s="14"/>
      <c r="H25" s="13"/>
      <c r="I25" s="10"/>
      <c r="J25" s="13">
        <f>SUM(J10:J18)</f>
        <v>18682883</v>
      </c>
      <c r="K25" s="14"/>
      <c r="L25" s="10"/>
      <c r="M25" s="13">
        <f>SUM(M10:M18)</f>
        <v>18705620</v>
      </c>
      <c r="N25" s="12"/>
      <c r="O25" s="10"/>
      <c r="P25" s="13">
        <f>SUM(P10:P18)</f>
        <v>17848518</v>
      </c>
      <c r="Q25" s="14"/>
      <c r="R25" s="13"/>
      <c r="S25" s="13">
        <f>SUM(S10:S18)</f>
        <v>18691680</v>
      </c>
      <c r="T25" s="14"/>
      <c r="U25" s="13"/>
      <c r="V25" s="13">
        <f>SUM(V10:V18)</f>
        <v>18831314</v>
      </c>
      <c r="W25" s="13"/>
      <c r="X25" s="13"/>
      <c r="Y25" s="13">
        <f>SUM(Y10:Y18)</f>
        <v>18858151</v>
      </c>
      <c r="Z25" s="13"/>
      <c r="AA25" s="13"/>
      <c r="AB25" s="13"/>
      <c r="AC25" s="13">
        <f>SUM(AC10:AC18)</f>
        <v>18891786</v>
      </c>
      <c r="AD25" s="13"/>
    </row>
    <row r="26" spans="1:30" x14ac:dyDescent="0.3">
      <c r="A26" s="10"/>
      <c r="B26" s="33"/>
      <c r="C26" s="12"/>
      <c r="D26" s="10"/>
      <c r="E26" s="10"/>
      <c r="F26" s="13"/>
      <c r="G26" s="14"/>
      <c r="H26" s="13"/>
      <c r="I26" s="10"/>
      <c r="J26" s="13"/>
      <c r="K26" s="14"/>
      <c r="L26" s="10"/>
      <c r="M26" s="13"/>
      <c r="N26" s="12"/>
      <c r="O26" s="10"/>
      <c r="P26" s="13"/>
      <c r="Q26" s="14"/>
      <c r="R26" s="13"/>
      <c r="S26" s="13"/>
      <c r="T26" s="14"/>
      <c r="U26" s="13"/>
      <c r="V26" s="13"/>
      <c r="W26" s="13"/>
      <c r="X26" s="13"/>
      <c r="Y26" s="13"/>
      <c r="Z26" s="13"/>
      <c r="AA26" s="13"/>
      <c r="AB26" s="13"/>
      <c r="AC26" s="13"/>
      <c r="AD26" s="13"/>
    </row>
    <row r="27" spans="1:30" x14ac:dyDescent="0.3">
      <c r="A27" s="11" t="s">
        <v>94</v>
      </c>
      <c r="B27" s="33"/>
      <c r="C27" s="37"/>
      <c r="D27" s="10"/>
      <c r="E27" s="10"/>
      <c r="F27" s="10"/>
      <c r="G27" s="12"/>
      <c r="H27" s="10"/>
      <c r="I27" s="10"/>
      <c r="J27" s="10"/>
      <c r="K27" s="12"/>
      <c r="L27" s="10"/>
      <c r="M27" s="10"/>
      <c r="N27" s="12"/>
      <c r="O27" s="10"/>
      <c r="P27" s="10"/>
      <c r="Q27" s="12"/>
      <c r="R27" s="10"/>
      <c r="S27" s="10"/>
      <c r="T27" s="12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spans="1:30" x14ac:dyDescent="0.3">
      <c r="A28" s="10" t="s">
        <v>19</v>
      </c>
      <c r="B28" s="13">
        <v>22500000</v>
      </c>
      <c r="C28" s="12"/>
      <c r="D28" s="10"/>
      <c r="E28" s="10"/>
      <c r="F28" s="13">
        <v>18793290</v>
      </c>
      <c r="G28" s="14" t="s">
        <v>24</v>
      </c>
      <c r="H28" s="13"/>
      <c r="I28" s="10"/>
      <c r="J28" s="13">
        <v>22484130</v>
      </c>
      <c r="K28" s="14" t="s">
        <v>5</v>
      </c>
      <c r="L28" s="10"/>
      <c r="M28" s="13">
        <v>22485537</v>
      </c>
      <c r="N28" s="12" t="s">
        <v>6</v>
      </c>
      <c r="O28" s="10"/>
      <c r="P28" s="13">
        <v>22484078</v>
      </c>
      <c r="Q28" s="14" t="s">
        <v>2</v>
      </c>
      <c r="R28" s="13"/>
      <c r="S28" s="13">
        <v>22484158</v>
      </c>
      <c r="T28" s="14" t="s">
        <v>75</v>
      </c>
      <c r="U28" s="13"/>
      <c r="V28" s="13">
        <v>22486658</v>
      </c>
      <c r="W28" s="13" t="s">
        <v>76</v>
      </c>
      <c r="X28" s="13"/>
      <c r="Y28" s="13">
        <v>22483495</v>
      </c>
      <c r="Z28" s="13" t="s">
        <v>76</v>
      </c>
      <c r="AA28" s="13"/>
      <c r="AB28" s="13"/>
      <c r="AC28" s="13">
        <v>22487130</v>
      </c>
      <c r="AD28" s="13" t="s">
        <v>50</v>
      </c>
    </row>
    <row r="29" spans="1:30" x14ac:dyDescent="0.3">
      <c r="A29" s="10" t="s">
        <v>20</v>
      </c>
      <c r="B29" s="13">
        <v>1170000</v>
      </c>
      <c r="C29" s="12" t="s">
        <v>95</v>
      </c>
      <c r="D29" s="10"/>
      <c r="E29" s="10"/>
      <c r="F29" s="13">
        <v>1200000</v>
      </c>
      <c r="G29" s="14" t="s">
        <v>5</v>
      </c>
      <c r="H29" s="13"/>
      <c r="I29" s="10"/>
      <c r="J29" s="13">
        <v>1230000</v>
      </c>
      <c r="K29" s="14" t="s">
        <v>5</v>
      </c>
      <c r="L29" s="10"/>
      <c r="M29" s="13">
        <v>1260000</v>
      </c>
      <c r="N29" s="12" t="s">
        <v>6</v>
      </c>
      <c r="O29" s="10"/>
      <c r="P29" s="13">
        <v>1290000</v>
      </c>
      <c r="Q29" s="14" t="s">
        <v>2</v>
      </c>
      <c r="R29" s="13"/>
      <c r="S29" s="13">
        <v>1320000</v>
      </c>
      <c r="T29" s="14" t="s">
        <v>77</v>
      </c>
      <c r="U29" s="13"/>
      <c r="V29" s="13">
        <v>1350000</v>
      </c>
      <c r="W29" s="14" t="s">
        <v>78</v>
      </c>
      <c r="X29" s="13"/>
      <c r="Y29" s="13">
        <v>1380000</v>
      </c>
      <c r="Z29" s="14" t="s">
        <v>78</v>
      </c>
      <c r="AA29" s="13"/>
      <c r="AB29" s="13"/>
      <c r="AC29" s="13">
        <v>1410000</v>
      </c>
      <c r="AD29" s="14" t="s">
        <v>78</v>
      </c>
    </row>
    <row r="30" spans="1:30" x14ac:dyDescent="0.3">
      <c r="A30" s="10" t="s">
        <v>21</v>
      </c>
      <c r="B30" s="13">
        <v>169655</v>
      </c>
      <c r="C30" s="12" t="s">
        <v>5</v>
      </c>
      <c r="D30" s="10"/>
      <c r="E30" s="10"/>
      <c r="F30" s="13">
        <v>169655</v>
      </c>
      <c r="G30" s="14" t="s">
        <v>5</v>
      </c>
      <c r="H30" s="13"/>
      <c r="I30" s="10"/>
      <c r="J30" s="13">
        <v>169656</v>
      </c>
      <c r="K30" s="14" t="s">
        <v>5</v>
      </c>
      <c r="L30" s="10"/>
      <c r="M30" s="13">
        <v>169655</v>
      </c>
      <c r="N30" s="12" t="s">
        <v>6</v>
      </c>
      <c r="O30" s="10"/>
      <c r="P30" s="13">
        <v>169655</v>
      </c>
      <c r="Q30" s="14" t="s">
        <v>2</v>
      </c>
      <c r="R30" s="13"/>
      <c r="S30" s="13">
        <v>169655</v>
      </c>
      <c r="T30" s="14" t="s">
        <v>79</v>
      </c>
      <c r="U30" s="13"/>
      <c r="V30" s="13">
        <v>169656</v>
      </c>
      <c r="W30" s="14" t="s">
        <v>78</v>
      </c>
      <c r="X30" s="13"/>
      <c r="Y30" s="13">
        <v>169656</v>
      </c>
      <c r="Z30" s="14" t="s">
        <v>78</v>
      </c>
      <c r="AA30" s="13"/>
      <c r="AB30" s="13"/>
      <c r="AC30" s="13">
        <v>169656</v>
      </c>
      <c r="AD30" s="14" t="s">
        <v>78</v>
      </c>
    </row>
    <row r="31" spans="1:30" x14ac:dyDescent="0.3">
      <c r="A31" s="10" t="s">
        <v>22</v>
      </c>
      <c r="B31" s="13">
        <v>130000</v>
      </c>
      <c r="C31" s="12" t="s">
        <v>5</v>
      </c>
      <c r="D31" s="10"/>
      <c r="E31" s="10"/>
      <c r="F31" s="13">
        <v>130000</v>
      </c>
      <c r="G31" s="14" t="s">
        <v>5</v>
      </c>
      <c r="H31" s="13"/>
      <c r="I31" s="10"/>
      <c r="J31" s="13">
        <v>55856</v>
      </c>
      <c r="K31" s="14" t="s">
        <v>5</v>
      </c>
      <c r="L31" s="10"/>
      <c r="M31" s="13">
        <v>71361</v>
      </c>
      <c r="N31" s="12" t="s">
        <v>6</v>
      </c>
      <c r="O31" s="10"/>
      <c r="P31" s="13">
        <v>71361</v>
      </c>
      <c r="Q31" s="14" t="s">
        <v>2</v>
      </c>
      <c r="R31" s="13"/>
      <c r="S31" s="13">
        <v>71361</v>
      </c>
      <c r="T31" s="14" t="s">
        <v>77</v>
      </c>
      <c r="U31" s="13"/>
      <c r="V31" s="13">
        <v>75000</v>
      </c>
      <c r="W31" s="14" t="s">
        <v>78</v>
      </c>
      <c r="X31" s="13"/>
      <c r="Y31" s="13">
        <v>75000</v>
      </c>
      <c r="Z31" s="14" t="s">
        <v>78</v>
      </c>
      <c r="AA31" s="13"/>
      <c r="AB31" s="13"/>
      <c r="AC31" s="13">
        <v>80000</v>
      </c>
      <c r="AD31" s="14" t="s">
        <v>78</v>
      </c>
    </row>
    <row r="32" spans="1:30" x14ac:dyDescent="0.3">
      <c r="A32" s="10" t="s">
        <v>23</v>
      </c>
      <c r="B32" s="34"/>
      <c r="C32" s="12"/>
      <c r="D32" s="10"/>
      <c r="E32" s="10"/>
      <c r="F32" s="13">
        <v>841398</v>
      </c>
      <c r="G32" s="14" t="s">
        <v>5</v>
      </c>
      <c r="H32" s="13"/>
      <c r="I32" s="10"/>
      <c r="J32" s="13">
        <v>899097</v>
      </c>
      <c r="K32" s="14" t="s">
        <v>5</v>
      </c>
      <c r="L32" s="10"/>
      <c r="M32" s="13">
        <v>890428</v>
      </c>
      <c r="N32" s="12" t="s">
        <v>6</v>
      </c>
      <c r="O32" s="10"/>
      <c r="P32" s="13">
        <v>4785</v>
      </c>
      <c r="Q32" s="14" t="s">
        <v>2</v>
      </c>
      <c r="R32" s="13"/>
      <c r="S32" s="13">
        <v>817867</v>
      </c>
      <c r="T32" s="14" t="s">
        <v>77</v>
      </c>
      <c r="U32" s="13"/>
      <c r="V32" s="13">
        <v>925000</v>
      </c>
      <c r="W32" s="14" t="s">
        <v>78</v>
      </c>
      <c r="X32" s="13"/>
      <c r="Y32" s="13">
        <v>925000</v>
      </c>
      <c r="Z32" s="14" t="s">
        <v>78</v>
      </c>
      <c r="AA32" s="13"/>
      <c r="AB32" s="13"/>
      <c r="AC32" s="13">
        <v>925000</v>
      </c>
      <c r="AD32" s="14" t="s">
        <v>78</v>
      </c>
    </row>
    <row r="33" spans="1:30" x14ac:dyDescent="0.3">
      <c r="A33" s="10"/>
      <c r="B33" s="33"/>
      <c r="C33" s="12"/>
      <c r="D33" s="10"/>
      <c r="E33" s="10"/>
      <c r="F33" s="13"/>
      <c r="G33" s="14"/>
      <c r="H33" s="13"/>
      <c r="I33" s="10"/>
      <c r="J33" s="13"/>
      <c r="K33" s="14"/>
      <c r="L33" s="10"/>
      <c r="M33" s="13"/>
      <c r="N33" s="12"/>
      <c r="O33" s="10"/>
      <c r="P33" s="13"/>
      <c r="Q33" s="14"/>
      <c r="R33" s="13"/>
      <c r="S33" s="13"/>
      <c r="T33" s="14"/>
      <c r="U33" s="13"/>
      <c r="V33" s="13"/>
      <c r="W33" s="13"/>
      <c r="X33" s="13"/>
      <c r="Y33" s="13"/>
      <c r="Z33" s="13"/>
      <c r="AA33" s="13"/>
      <c r="AB33" s="13"/>
      <c r="AD33" s="13"/>
    </row>
    <row r="34" spans="1:30" x14ac:dyDescent="0.3">
      <c r="A34" s="16" t="s">
        <v>28</v>
      </c>
      <c r="B34" s="17">
        <f>SUM(B28:B32)</f>
        <v>23969655</v>
      </c>
      <c r="C34" s="38"/>
      <c r="D34" s="10"/>
      <c r="E34" s="10"/>
      <c r="F34" s="17">
        <f>SUM(F28:F32)</f>
        <v>21134343</v>
      </c>
      <c r="G34" s="18"/>
      <c r="H34" s="17"/>
      <c r="I34" s="10"/>
      <c r="J34" s="17">
        <f>SUM(J28:J32)</f>
        <v>24838739</v>
      </c>
      <c r="K34" s="18"/>
      <c r="L34" s="10"/>
      <c r="M34" s="17">
        <f>SUM(M28:M32)</f>
        <v>24876981</v>
      </c>
      <c r="N34" s="12"/>
      <c r="O34" s="10"/>
      <c r="P34" s="17">
        <f>SUM(P28:P32)</f>
        <v>24019879</v>
      </c>
      <c r="Q34" s="18"/>
      <c r="R34" s="17"/>
      <c r="S34" s="17">
        <f>SUM(S28:S32)</f>
        <v>24863041</v>
      </c>
      <c r="T34" s="18"/>
      <c r="U34" s="17"/>
      <c r="V34" s="17">
        <f>SUM(V28:V32)</f>
        <v>25006314</v>
      </c>
      <c r="W34" s="17"/>
      <c r="X34" s="17"/>
      <c r="Y34" s="17">
        <f>SUM(Y28:Y32)</f>
        <v>25033151</v>
      </c>
      <c r="Z34" s="17"/>
      <c r="AA34" s="17"/>
      <c r="AB34" s="17"/>
      <c r="AC34" s="17">
        <f>SUM(AC28:AC32)</f>
        <v>25071786</v>
      </c>
      <c r="AD34" s="17"/>
    </row>
    <row r="35" spans="1:30" ht="43.2" x14ac:dyDescent="0.3">
      <c r="A35" s="19" t="s">
        <v>80</v>
      </c>
      <c r="B35" s="33"/>
      <c r="C35" s="20"/>
      <c r="D35" s="10"/>
      <c r="E35" s="10"/>
      <c r="F35" s="19"/>
      <c r="G35" s="20"/>
      <c r="H35" s="19"/>
      <c r="I35" s="19"/>
      <c r="J35" s="19"/>
      <c r="K35" s="20"/>
      <c r="L35" s="19"/>
      <c r="M35" s="19"/>
      <c r="N35" s="20"/>
      <c r="O35" s="19"/>
      <c r="P35" s="19"/>
      <c r="Q35" s="21"/>
      <c r="R35" s="22"/>
      <c r="S35" s="22"/>
      <c r="T35" s="21"/>
      <c r="U35" s="22"/>
      <c r="V35" s="22"/>
      <c r="W35" s="22"/>
      <c r="X35" s="22"/>
      <c r="Y35" s="22"/>
      <c r="Z35" s="22"/>
      <c r="AA35" s="22"/>
      <c r="AB35" s="22"/>
      <c r="AC35" s="22"/>
      <c r="AD35" s="22"/>
    </row>
    <row r="36" spans="1:30" x14ac:dyDescent="0.3">
      <c r="A36" s="23"/>
      <c r="B36" s="33"/>
      <c r="C36" s="39"/>
      <c r="D36" s="23"/>
      <c r="E36" s="23"/>
      <c r="F36" s="22"/>
      <c r="G36" s="21"/>
      <c r="H36" s="22"/>
      <c r="I36" s="22"/>
      <c r="J36" s="22"/>
      <c r="K36" s="21"/>
      <c r="L36" s="22"/>
      <c r="M36" s="22"/>
      <c r="N36" s="21"/>
      <c r="O36" s="22"/>
      <c r="P36" s="22"/>
      <c r="Q36" s="21"/>
      <c r="R36" s="22"/>
      <c r="S36" s="22"/>
      <c r="T36" s="21"/>
      <c r="U36" s="22"/>
      <c r="V36" s="22"/>
      <c r="W36" s="22"/>
      <c r="X36" s="22"/>
      <c r="Y36" s="22"/>
      <c r="Z36" s="22"/>
      <c r="AA36" s="22"/>
      <c r="AB36" s="22"/>
      <c r="AC36" s="22"/>
      <c r="AD36" s="22"/>
    </row>
    <row r="37" spans="1:30" x14ac:dyDescent="0.3">
      <c r="B37" s="5">
        <f>SUM(B29:B32)</f>
        <v>1469655</v>
      </c>
      <c r="F37" s="5">
        <f>SUM(F29:F32)</f>
        <v>2341053</v>
      </c>
      <c r="G37" s="24"/>
      <c r="H37" s="5"/>
      <c r="J37" s="5">
        <f>SUM(J29:J32)</f>
        <v>2354609</v>
      </c>
      <c r="M37" s="5">
        <f>SUM(M29:M32)</f>
        <v>2391444</v>
      </c>
      <c r="P37" s="5">
        <f>SUM(P29:P32)</f>
        <v>1535801</v>
      </c>
      <c r="S37" s="5">
        <f>SUM(S29:S32)</f>
        <v>2378883</v>
      </c>
      <c r="V37" s="5">
        <f>SUM(V29:V32)</f>
        <v>2519656</v>
      </c>
      <c r="Y37" s="5">
        <f>SUM(Y29:Y32)</f>
        <v>2549656</v>
      </c>
      <c r="AC37" s="5">
        <f>SUM(AC29:AC32)</f>
        <v>2584656</v>
      </c>
    </row>
    <row r="38" spans="1:30" x14ac:dyDescent="0.3">
      <c r="B38" s="33"/>
      <c r="X38" s="25"/>
      <c r="Y38" s="25"/>
      <c r="Z38" s="25"/>
      <c r="AA38" s="25"/>
      <c r="AB38" s="25"/>
      <c r="AC38" s="25"/>
      <c r="AD38" s="25"/>
    </row>
    <row r="39" spans="1:30" x14ac:dyDescent="0.3">
      <c r="A39" t="s">
        <v>82</v>
      </c>
      <c r="B39" s="5">
        <f>SUM(B24-B21)</f>
        <v>22500000</v>
      </c>
      <c r="F39" s="5">
        <f>SUM(F24-F21)</f>
        <v>21004343</v>
      </c>
      <c r="J39" s="5">
        <f>SUM(J24-J21)</f>
        <v>24782883</v>
      </c>
      <c r="M39" s="5">
        <f>SUM(M24-M21)</f>
        <v>24805620</v>
      </c>
      <c r="P39" s="5">
        <f>SUM(P24-P21)</f>
        <v>23948518</v>
      </c>
      <c r="S39" s="5">
        <f>SUM(S24-S21)</f>
        <v>24791680</v>
      </c>
      <c r="V39" s="5">
        <f>SUM(V24-V21)</f>
        <v>24931314</v>
      </c>
      <c r="W39" s="25"/>
      <c r="X39" s="25"/>
      <c r="Y39" s="5">
        <f>SUM(Y24-Y21)</f>
        <v>24958151</v>
      </c>
      <c r="Z39" s="25"/>
      <c r="AA39" s="25"/>
      <c r="AB39" s="25"/>
      <c r="AC39" s="5">
        <f>SUM(AC24-AC21)</f>
        <v>24991786</v>
      </c>
      <c r="AD39" s="25"/>
    </row>
    <row r="40" spans="1:30" x14ac:dyDescent="0.3">
      <c r="A40" t="s">
        <v>83</v>
      </c>
      <c r="B40" s="5">
        <f>SUM(B34-B31)</f>
        <v>23839655</v>
      </c>
      <c r="C40" s="9" t="s">
        <v>97</v>
      </c>
      <c r="F40" s="5">
        <f>SUM(F34-F31)</f>
        <v>21004343</v>
      </c>
      <c r="J40" s="5">
        <f>SUM(J34-J31)</f>
        <v>24782883</v>
      </c>
      <c r="M40" s="5">
        <f>SUM(M34-M31)</f>
        <v>24805620</v>
      </c>
      <c r="P40" s="5">
        <f>SUM(P34-P31)</f>
        <v>23948518</v>
      </c>
      <c r="S40" s="5">
        <f>SUM(S34-S31)</f>
        <v>24791680</v>
      </c>
      <c r="V40" s="5">
        <f>SUM(V34-V31)</f>
        <v>24931314</v>
      </c>
      <c r="Y40" s="5">
        <f>SUM(Y34-Y31)</f>
        <v>24958151</v>
      </c>
      <c r="AC40" s="5">
        <f>SUM(AC34-AC31)</f>
        <v>24991786</v>
      </c>
    </row>
    <row r="42" spans="1:30" x14ac:dyDescent="0.3">
      <c r="A42" t="s">
        <v>86</v>
      </c>
      <c r="B42" s="30">
        <f>SUM(B18/B25)</f>
        <v>0.3902439024390244</v>
      </c>
      <c r="F42" s="30">
        <f>SUM(F18/F25)</f>
        <v>0.38785941652111694</v>
      </c>
      <c r="J42" s="30">
        <f>SUM(J18/J25)</f>
        <v>0.40678454176478007</v>
      </c>
      <c r="M42" s="30">
        <f>SUM(M18/M25)</f>
        <v>0.32808097245640616</v>
      </c>
      <c r="P42" s="30">
        <f>SUM(P18/P25)</f>
        <v>0.36439512793162998</v>
      </c>
      <c r="S42" s="30">
        <f>SUM(S18/S25)</f>
        <v>0.39700866909769478</v>
      </c>
      <c r="V42" s="30">
        <f>SUM(V18/V25)</f>
        <v>0.28179711729091234</v>
      </c>
      <c r="Y42" s="30">
        <f>SUM(Y18/Y25)</f>
        <v>0.23400570925537717</v>
      </c>
      <c r="AC42" s="30">
        <f>SUM(AC18/AC25)</f>
        <v>0.16432014421505728</v>
      </c>
    </row>
    <row r="43" spans="1:30" x14ac:dyDescent="0.3">
      <c r="A43" t="s">
        <v>87</v>
      </c>
      <c r="B43" s="5">
        <f>SUM(B29+B30+B32)</f>
        <v>1339655</v>
      </c>
      <c r="F43" s="5">
        <f>SUM(F29+F30+F32)</f>
        <v>2211053</v>
      </c>
      <c r="J43" s="5">
        <f>SUM(J29+J30+J32)</f>
        <v>2298753</v>
      </c>
      <c r="M43" s="5">
        <f>SUM(M29+M30+M32)</f>
        <v>2320083</v>
      </c>
      <c r="P43" s="5">
        <f>SUM(P29+P30+P32)</f>
        <v>1464440</v>
      </c>
      <c r="S43" s="5">
        <f>SUM(S29+S30+S32)</f>
        <v>2307522</v>
      </c>
      <c r="V43" s="5">
        <f>SUM(V29+V30+V32)</f>
        <v>2444656</v>
      </c>
      <c r="Y43" s="5">
        <f>SUM(Y29+Y30+Y32)</f>
        <v>2474656</v>
      </c>
      <c r="AC43" s="5">
        <f>SUM(AC29+AC30+AC32)</f>
        <v>2504656</v>
      </c>
    </row>
    <row r="44" spans="1:30" ht="57.6" x14ac:dyDescent="0.3">
      <c r="W44" s="25" t="s">
        <v>81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Sources for Table 13.2</vt:lpstr>
      <vt:lpstr>Sources for Table 21.6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J.C. Bradbury</dc:creator>
  <cp:lastModifiedBy>J.C. Bradbury</cp:lastModifiedBy>
  <dcterms:created xsi:type="dcterms:W3CDTF">2026-01-07T15:33:56Z</dcterms:created>
  <dcterms:modified xsi:type="dcterms:W3CDTF">2026-01-09T16:26:02Z</dcterms:modified>
</cp:coreProperties>
</file>