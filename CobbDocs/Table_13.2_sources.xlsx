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bra\GitHub\This-One-Will-Be-Different\CobbDocs\"/>
    </mc:Choice>
  </mc:AlternateContent>
  <xr:revisionPtr revIDLastSave="0" documentId="13_ncr:1_{1C350749-90C2-4E15-A1C7-1EED08F989AB}" xr6:coauthVersionLast="47" xr6:coauthVersionMax="47" xr10:uidLastSave="{00000000-0000-0000-0000-000000000000}"/>
  <bookViews>
    <workbookView xWindow="-108" yWindow="-108" windowWidth="23256" windowHeight="12456" xr2:uid="{CEDEA0C4-ED09-4EF5-AB2D-04585F13BFFE}"/>
  </bookViews>
  <sheets>
    <sheet name="Sources for Table 13.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H28" i="1"/>
  <c r="F36" i="1"/>
  <c r="F35" i="1"/>
  <c r="D36" i="1"/>
  <c r="D35" i="1"/>
  <c r="F28" i="1"/>
  <c r="D28" i="1"/>
  <c r="H26" i="1"/>
  <c r="H25" i="1"/>
  <c r="H24" i="1"/>
  <c r="H23" i="1"/>
  <c r="H22" i="1"/>
  <c r="H15" i="1"/>
  <c r="H9" i="1"/>
  <c r="H8" i="1"/>
  <c r="H7" i="1"/>
  <c r="H6" i="1"/>
  <c r="H5" i="1"/>
  <c r="H4" i="1"/>
  <c r="H3" i="1"/>
  <c r="F12" i="1"/>
  <c r="F31" i="1" s="1"/>
  <c r="D12" i="1"/>
  <c r="B12" i="1"/>
  <c r="B13" i="1" s="1"/>
  <c r="H12" i="1" l="1"/>
  <c r="H31" i="1" s="1"/>
  <c r="H35" i="1" s="1"/>
  <c r="D31" i="1"/>
  <c r="F18" i="1"/>
  <c r="F13" i="1"/>
  <c r="D18" i="1"/>
  <c r="H18" i="1" s="1"/>
  <c r="D13" i="1"/>
  <c r="D32" i="1" s="1"/>
  <c r="B18" i="1"/>
  <c r="B19" i="1"/>
  <c r="F19" i="1" l="1"/>
  <c r="F32" i="1"/>
  <c r="D19" i="1"/>
  <c r="H19" i="1" s="1"/>
  <c r="H13" i="1"/>
  <c r="H32" i="1" s="1"/>
  <c r="H36" i="1" s="1"/>
</calcChain>
</file>

<file path=xl/sharedStrings.xml><?xml version="1.0" encoding="utf-8"?>
<sst xmlns="http://schemas.openxmlformats.org/spreadsheetml/2006/main" count="73" uniqueCount="38">
  <si>
    <t>Sales Taxes</t>
  </si>
  <si>
    <t>Slide 12</t>
  </si>
  <si>
    <t>Slide 10</t>
  </si>
  <si>
    <t>General Fund Property Taxes</t>
  </si>
  <si>
    <t>Slide 9 (bottom)</t>
  </si>
  <si>
    <t>Slide 11</t>
  </si>
  <si>
    <t>Slide 9</t>
  </si>
  <si>
    <t>Cumberland SSD II (Property)</t>
  </si>
  <si>
    <t>Business License</t>
  </si>
  <si>
    <t>Liquor by the Drink</t>
  </si>
  <si>
    <t>Fire District Fund</t>
  </si>
  <si>
    <t>Debt Service Fund</t>
  </si>
  <si>
    <t>Commercial Permits</t>
  </si>
  <si>
    <t>2/3 Contribution (adjusting for crowding out)</t>
  </si>
  <si>
    <t>ANLBC Rent</t>
  </si>
  <si>
    <t>Total ANLBC Contribution</t>
  </si>
  <si>
    <t>No crowding out</t>
  </si>
  <si>
    <t>Adjusting for crowding out</t>
  </si>
  <si>
    <t>Slide 8</t>
  </si>
  <si>
    <t>Debt Service</t>
  </si>
  <si>
    <t>Capital Maintenance</t>
  </si>
  <si>
    <t>I-285 Bridge</t>
  </si>
  <si>
    <t>Property Insurance</t>
  </si>
  <si>
    <t>Police</t>
  </si>
  <si>
    <t>Slide 13</t>
  </si>
  <si>
    <t>Gross Tax Contribution</t>
  </si>
  <si>
    <t>Average</t>
  </si>
  <si>
    <t>County Costs</t>
  </si>
  <si>
    <t>Total Cost</t>
  </si>
  <si>
    <t>Cobb Surplus/Deficit</t>
  </si>
  <si>
    <t>Per Household (280,374)</t>
  </si>
  <si>
    <t>Battery Contributions</t>
  </si>
  <si>
    <t xml:space="preserve">Slide 9 </t>
  </si>
  <si>
    <t>Note, data as reported on Year Review documents. Some of these totals would  later be updated.</t>
  </si>
  <si>
    <t>Source</t>
  </si>
  <si>
    <t>CobbYearInReview_2017</t>
  </si>
  <si>
    <t>CobbYearInReview_2018</t>
  </si>
  <si>
    <t>CobbYearInReview_2019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</si>
</sst>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0" fillId="0" borderId="0" xfId="0" applyFill="1"/>
    <xf numFmtId="164" fontId="1" fillId="0" borderId="0" xfId="0" applyNumberFormat="1" applyFont="1" applyFill="1"/>
    <xf numFmtId="164" fontId="0" fillId="0" borderId="0" xfId="0" applyNumberFormat="1" applyFill="1"/>
    <xf numFmtId="164" fontId="1" fillId="0" borderId="0" xfId="0" applyNumberFormat="1" applyFont="1" applyFill="1" applyAlignment="1">
      <alignment horizontal="center"/>
    </xf>
    <xf numFmtId="164" fontId="1" fillId="0" borderId="0" xfId="0" applyNumberFormat="1" applyFont="1" applyFill="1" applyAlignment="1">
      <alignment horizontal="left"/>
    </xf>
    <xf numFmtId="3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8A0A1-FC47-420C-8AAA-F232B26C0CDC}">
  <dimension ref="A1:M39"/>
  <sheetViews>
    <sheetView tabSelected="1" workbookViewId="0">
      <selection activeCell="C14" sqref="C14"/>
    </sheetView>
  </sheetViews>
  <sheetFormatPr defaultRowHeight="14.4" x14ac:dyDescent="0.3"/>
  <cols>
    <col min="1" max="1" width="38.6640625" style="4" bestFit="1" customWidth="1"/>
    <col min="2" max="2" width="11.77734375" style="4" bestFit="1" customWidth="1"/>
    <col min="3" max="3" width="26.88671875" style="4" bestFit="1" customWidth="1"/>
    <col min="4" max="4" width="11.77734375" style="4" bestFit="1" customWidth="1"/>
    <col min="5" max="5" width="21" style="4" bestFit="1" customWidth="1"/>
    <col min="6" max="6" width="11.77734375" style="4" bestFit="1" customWidth="1"/>
    <col min="7" max="7" width="21" style="4" bestFit="1" customWidth="1"/>
    <col min="8" max="8" width="11.77734375" style="4" bestFit="1" customWidth="1"/>
    <col min="11" max="11" width="11.77734375" bestFit="1" customWidth="1"/>
  </cols>
  <sheetData>
    <row r="1" spans="1:8" x14ac:dyDescent="0.3">
      <c r="B1" s="5">
        <v>2017</v>
      </c>
      <c r="C1" s="5" t="s">
        <v>34</v>
      </c>
      <c r="D1" s="5">
        <v>2018</v>
      </c>
      <c r="E1" s="5" t="s">
        <v>34</v>
      </c>
      <c r="F1" s="5">
        <v>2019</v>
      </c>
      <c r="G1" s="5" t="s">
        <v>34</v>
      </c>
      <c r="H1" s="6" t="s">
        <v>26</v>
      </c>
    </row>
    <row r="2" spans="1:8" x14ac:dyDescent="0.3">
      <c r="A2" s="4" t="s">
        <v>31</v>
      </c>
      <c r="C2" s="4" t="s">
        <v>35</v>
      </c>
      <c r="E2" s="4" t="s">
        <v>36</v>
      </c>
      <c r="G2" s="4" t="s">
        <v>37</v>
      </c>
    </row>
    <row r="3" spans="1:8" x14ac:dyDescent="0.3">
      <c r="A3" s="4" t="s">
        <v>0</v>
      </c>
      <c r="B3" s="7">
        <v>1600000</v>
      </c>
      <c r="C3" s="7" t="s">
        <v>18</v>
      </c>
      <c r="D3" s="7">
        <v>2482550</v>
      </c>
      <c r="E3" s="7" t="s">
        <v>1</v>
      </c>
      <c r="F3" s="7">
        <v>2743463.1666666665</v>
      </c>
      <c r="G3" s="7" t="s">
        <v>2</v>
      </c>
      <c r="H3" s="8">
        <f>AVERAGE(D3,F3)</f>
        <v>2613006.583333333</v>
      </c>
    </row>
    <row r="4" spans="1:8" x14ac:dyDescent="0.3">
      <c r="A4" s="4" t="s">
        <v>3</v>
      </c>
      <c r="B4" s="7">
        <v>404288</v>
      </c>
      <c r="C4" s="7" t="s">
        <v>4</v>
      </c>
      <c r="D4" s="7">
        <v>1782956</v>
      </c>
      <c r="E4" s="7" t="s">
        <v>5</v>
      </c>
      <c r="F4" s="7">
        <v>1868937</v>
      </c>
      <c r="G4" s="7" t="s">
        <v>6</v>
      </c>
      <c r="H4" s="8">
        <f t="shared" ref="H4:H9" si="0">AVERAGE(D4,F4)</f>
        <v>1825946.5</v>
      </c>
    </row>
    <row r="5" spans="1:8" x14ac:dyDescent="0.3">
      <c r="A5" s="4" t="s">
        <v>7</v>
      </c>
      <c r="B5" s="9">
        <v>5319413</v>
      </c>
      <c r="C5" s="10" t="s">
        <v>32</v>
      </c>
      <c r="D5" s="7">
        <v>516341</v>
      </c>
      <c r="E5" s="7" t="s">
        <v>5</v>
      </c>
      <c r="F5" s="7">
        <v>541241</v>
      </c>
      <c r="G5" s="7" t="s">
        <v>6</v>
      </c>
      <c r="H5" s="8">
        <f t="shared" si="0"/>
        <v>528791</v>
      </c>
    </row>
    <row r="6" spans="1:8" x14ac:dyDescent="0.3">
      <c r="A6" s="4" t="s">
        <v>8</v>
      </c>
      <c r="B6" s="7">
        <v>258147</v>
      </c>
      <c r="C6" s="7" t="s">
        <v>1</v>
      </c>
      <c r="D6" s="7">
        <v>272407</v>
      </c>
      <c r="E6" s="7" t="s">
        <v>1</v>
      </c>
      <c r="F6" s="7">
        <v>189611</v>
      </c>
      <c r="G6" s="7" t="s">
        <v>2</v>
      </c>
      <c r="H6" s="8">
        <f t="shared" si="0"/>
        <v>231009</v>
      </c>
    </row>
    <row r="7" spans="1:8" x14ac:dyDescent="0.3">
      <c r="A7" s="4" t="s">
        <v>9</v>
      </c>
      <c r="B7" s="7">
        <v>118800</v>
      </c>
      <c r="C7" s="7" t="s">
        <v>1</v>
      </c>
      <c r="D7" s="7">
        <v>472682</v>
      </c>
      <c r="E7" s="7" t="s">
        <v>1</v>
      </c>
      <c r="F7" s="7">
        <v>601431</v>
      </c>
      <c r="G7" s="7" t="s">
        <v>2</v>
      </c>
      <c r="H7" s="8">
        <f t="shared" si="0"/>
        <v>537056.5</v>
      </c>
    </row>
    <row r="8" spans="1:8" x14ac:dyDescent="0.3">
      <c r="A8" s="4" t="s">
        <v>10</v>
      </c>
      <c r="B8" s="7">
        <v>199095</v>
      </c>
      <c r="C8" s="7" t="s">
        <v>4</v>
      </c>
      <c r="D8" s="7">
        <v>222833</v>
      </c>
      <c r="E8" s="7" t="s">
        <v>1</v>
      </c>
      <c r="F8" s="7">
        <v>631816</v>
      </c>
      <c r="G8" s="7" t="s">
        <v>2</v>
      </c>
      <c r="H8" s="8">
        <f t="shared" si="0"/>
        <v>427324.5</v>
      </c>
    </row>
    <row r="9" spans="1:8" x14ac:dyDescent="0.3">
      <c r="A9" s="4" t="s">
        <v>11</v>
      </c>
      <c r="B9" s="7">
        <v>7775</v>
      </c>
      <c r="C9" s="7" t="s">
        <v>4</v>
      </c>
      <c r="D9" s="7">
        <v>9787</v>
      </c>
      <c r="E9" s="7" t="s">
        <v>1</v>
      </c>
      <c r="F9" s="7">
        <v>28719</v>
      </c>
      <c r="G9" s="7" t="s">
        <v>2</v>
      </c>
      <c r="H9" s="8">
        <f t="shared" si="0"/>
        <v>19253</v>
      </c>
    </row>
    <row r="10" spans="1:8" x14ac:dyDescent="0.3">
      <c r="A10" s="4" t="s">
        <v>12</v>
      </c>
      <c r="B10" s="7">
        <v>289604</v>
      </c>
      <c r="C10" s="7" t="s">
        <v>1</v>
      </c>
      <c r="H10" s="6"/>
    </row>
    <row r="11" spans="1:8" x14ac:dyDescent="0.3">
      <c r="H11" s="6"/>
    </row>
    <row r="12" spans="1:8" x14ac:dyDescent="0.3">
      <c r="A12" s="4" t="s">
        <v>25</v>
      </c>
      <c r="B12" s="7">
        <f>SUM(B3:B10)</f>
        <v>8197122</v>
      </c>
      <c r="C12" s="7"/>
      <c r="D12" s="7">
        <f>SUM(D3:D9)</f>
        <v>5759556</v>
      </c>
      <c r="E12" s="7"/>
      <c r="F12" s="7">
        <f>SUM(F3:F9)</f>
        <v>6605218.166666666</v>
      </c>
      <c r="G12" s="7"/>
      <c r="H12" s="8">
        <f>AVERAGE(D12,F12)</f>
        <v>6182387.083333333</v>
      </c>
    </row>
    <row r="13" spans="1:8" x14ac:dyDescent="0.3">
      <c r="A13" s="4" t="s">
        <v>13</v>
      </c>
      <c r="B13" s="7">
        <f>SUM((2/3)*B12)</f>
        <v>5464748</v>
      </c>
      <c r="C13" s="7"/>
      <c r="D13" s="7">
        <f>SUM((2/3)*D12)</f>
        <v>3839704</v>
      </c>
      <c r="E13" s="7"/>
      <c r="F13" s="7">
        <f>SUM((2/3)*F12)</f>
        <v>4403478.7777777771</v>
      </c>
      <c r="G13" s="7"/>
      <c r="H13" s="8">
        <f>AVERAGE(D13,F13)</f>
        <v>4121591.3888888885</v>
      </c>
    </row>
    <row r="14" spans="1:8" x14ac:dyDescent="0.3">
      <c r="H14" s="6"/>
    </row>
    <row r="15" spans="1:8" x14ac:dyDescent="0.3">
      <c r="A15" s="4" t="s">
        <v>14</v>
      </c>
      <c r="B15" s="7">
        <v>3050000</v>
      </c>
      <c r="C15" s="7"/>
      <c r="D15" s="7">
        <v>6100000</v>
      </c>
      <c r="E15" s="7"/>
      <c r="F15" s="7">
        <v>6100000</v>
      </c>
      <c r="G15" s="7"/>
      <c r="H15" s="8">
        <f>AVERAGE(D15,F15)</f>
        <v>6100000</v>
      </c>
    </row>
    <row r="16" spans="1:8" x14ac:dyDescent="0.3">
      <c r="H16" s="6"/>
    </row>
    <row r="17" spans="1:13" x14ac:dyDescent="0.3">
      <c r="A17" s="4" t="s">
        <v>15</v>
      </c>
      <c r="H17" s="6"/>
    </row>
    <row r="18" spans="1:13" x14ac:dyDescent="0.3">
      <c r="A18" s="4" t="s">
        <v>16</v>
      </c>
      <c r="B18" s="7">
        <f>SUM(B15+B12)</f>
        <v>11247122</v>
      </c>
      <c r="C18" s="7"/>
      <c r="D18" s="7">
        <f>SUM(D15+D12)</f>
        <v>11859556</v>
      </c>
      <c r="E18" s="7"/>
      <c r="F18" s="7">
        <f>SUM(F15+F12)</f>
        <v>12705218.166666666</v>
      </c>
      <c r="G18" s="7"/>
      <c r="H18" s="8">
        <f>AVERAGE(D18,F18)</f>
        <v>12282387.083333332</v>
      </c>
    </row>
    <row r="19" spans="1:13" x14ac:dyDescent="0.3">
      <c r="A19" s="4" t="s">
        <v>17</v>
      </c>
      <c r="B19" s="7">
        <f>SUM(B15+B13)</f>
        <v>8514748</v>
      </c>
      <c r="C19" s="7"/>
      <c r="D19" s="7">
        <f>SUM(D15+D13)</f>
        <v>9939704</v>
      </c>
      <c r="E19" s="7"/>
      <c r="F19" s="7">
        <f>SUM(F15+F13)</f>
        <v>10503478.777777776</v>
      </c>
      <c r="G19" s="7"/>
      <c r="H19" s="8">
        <f>AVERAGE(D19,F19)</f>
        <v>10221591.388888888</v>
      </c>
    </row>
    <row r="20" spans="1:13" x14ac:dyDescent="0.3">
      <c r="H20" s="6"/>
    </row>
    <row r="21" spans="1:13" x14ac:dyDescent="0.3">
      <c r="A21" s="4" t="s">
        <v>27</v>
      </c>
      <c r="H21" s="6"/>
    </row>
    <row r="22" spans="1:13" x14ac:dyDescent="0.3">
      <c r="A22" s="4" t="s">
        <v>19</v>
      </c>
      <c r="B22" s="7">
        <v>18793290</v>
      </c>
      <c r="C22" s="4" t="s">
        <v>24</v>
      </c>
      <c r="D22" s="7">
        <v>22484130</v>
      </c>
      <c r="E22" s="4" t="s">
        <v>5</v>
      </c>
      <c r="F22" s="7">
        <v>22485537</v>
      </c>
      <c r="G22" s="4" t="s">
        <v>6</v>
      </c>
      <c r="H22" s="8">
        <f t="shared" ref="H22:H26" si="1">AVERAGE(D22,F22)</f>
        <v>22484833.5</v>
      </c>
    </row>
    <row r="23" spans="1:13" x14ac:dyDescent="0.3">
      <c r="A23" s="4" t="s">
        <v>20</v>
      </c>
      <c r="B23" s="7">
        <v>1200000</v>
      </c>
      <c r="C23" s="4" t="s">
        <v>5</v>
      </c>
      <c r="D23" s="7">
        <v>1230000</v>
      </c>
      <c r="E23" s="4" t="s">
        <v>5</v>
      </c>
      <c r="F23" s="7">
        <v>1260000</v>
      </c>
      <c r="G23" s="4" t="s">
        <v>6</v>
      </c>
      <c r="H23" s="8">
        <f t="shared" si="1"/>
        <v>1245000</v>
      </c>
    </row>
    <row r="24" spans="1:13" x14ac:dyDescent="0.3">
      <c r="A24" s="4" t="s">
        <v>21</v>
      </c>
      <c r="B24" s="7">
        <v>169655</v>
      </c>
      <c r="C24" s="4" t="s">
        <v>5</v>
      </c>
      <c r="D24" s="7">
        <v>169656</v>
      </c>
      <c r="E24" s="4" t="s">
        <v>5</v>
      </c>
      <c r="F24" s="7">
        <v>169655</v>
      </c>
      <c r="G24" s="4" t="s">
        <v>6</v>
      </c>
      <c r="H24" s="8">
        <f t="shared" si="1"/>
        <v>169655.5</v>
      </c>
    </row>
    <row r="25" spans="1:13" x14ac:dyDescent="0.3">
      <c r="A25" s="4" t="s">
        <v>22</v>
      </c>
      <c r="B25" s="7">
        <v>130000</v>
      </c>
      <c r="C25" s="4" t="s">
        <v>5</v>
      </c>
      <c r="D25" s="7">
        <v>55856</v>
      </c>
      <c r="E25" s="4" t="s">
        <v>5</v>
      </c>
      <c r="F25" s="7">
        <v>71361</v>
      </c>
      <c r="G25" s="4" t="s">
        <v>6</v>
      </c>
      <c r="H25" s="8">
        <f t="shared" si="1"/>
        <v>63608.5</v>
      </c>
    </row>
    <row r="26" spans="1:13" x14ac:dyDescent="0.3">
      <c r="A26" s="4" t="s">
        <v>23</v>
      </c>
      <c r="B26" s="7">
        <v>841398</v>
      </c>
      <c r="C26" s="4" t="s">
        <v>5</v>
      </c>
      <c r="D26" s="7">
        <v>899097</v>
      </c>
      <c r="E26" s="4" t="s">
        <v>5</v>
      </c>
      <c r="F26" s="7">
        <v>890428</v>
      </c>
      <c r="G26" s="4" t="s">
        <v>6</v>
      </c>
      <c r="H26" s="8">
        <f t="shared" si="1"/>
        <v>894762.5</v>
      </c>
    </row>
    <row r="27" spans="1:13" x14ac:dyDescent="0.3">
      <c r="H27" s="6"/>
    </row>
    <row r="28" spans="1:13" x14ac:dyDescent="0.3">
      <c r="A28" s="4" t="s">
        <v>28</v>
      </c>
      <c r="B28" s="7">
        <f>SUM(B22:B26)</f>
        <v>21134343</v>
      </c>
      <c r="D28" s="7">
        <f>SUM(D22:D26)</f>
        <v>24838739</v>
      </c>
      <c r="F28" s="7">
        <f>SUM(F22:F26)</f>
        <v>24876981</v>
      </c>
      <c r="H28" s="7">
        <f>SUM(H22:H26)</f>
        <v>24857860</v>
      </c>
    </row>
    <row r="30" spans="1:13" x14ac:dyDescent="0.3">
      <c r="A30" s="4" t="s">
        <v>29</v>
      </c>
      <c r="B30" s="7"/>
      <c r="K30" s="2"/>
      <c r="L30" s="1"/>
      <c r="M30" s="1"/>
    </row>
    <row r="31" spans="1:13" x14ac:dyDescent="0.3">
      <c r="A31" s="4" t="s">
        <v>16</v>
      </c>
      <c r="B31" s="7"/>
      <c r="D31" s="7">
        <f>SUM(D12+D15-D28)</f>
        <v>-12979183</v>
      </c>
      <c r="F31" s="7">
        <f>SUM(F12+F15-F28)</f>
        <v>-12171762.833333334</v>
      </c>
      <c r="H31" s="7">
        <f>SUM(H12+H15-H28)</f>
        <v>-12575472.916666668</v>
      </c>
      <c r="K31" s="2"/>
      <c r="L31" s="1"/>
      <c r="M31" s="1"/>
    </row>
    <row r="32" spans="1:13" x14ac:dyDescent="0.3">
      <c r="A32" s="4" t="s">
        <v>17</v>
      </c>
      <c r="B32" s="7"/>
      <c r="D32" s="7">
        <f>SUM(D13+D15-D28)</f>
        <v>-14899035</v>
      </c>
      <c r="F32" s="7">
        <f>SUM(F13+F15-F28)</f>
        <v>-14373502.222222224</v>
      </c>
      <c r="H32" s="7">
        <f>SUM(H13+H15-H28)</f>
        <v>-14636268.611111112</v>
      </c>
      <c r="K32" s="1"/>
      <c r="L32" s="1"/>
      <c r="M32" s="1"/>
    </row>
    <row r="34" spans="1:13" x14ac:dyDescent="0.3">
      <c r="A34" s="4" t="s">
        <v>30</v>
      </c>
      <c r="B34" s="11"/>
      <c r="D34" s="11">
        <v>280374</v>
      </c>
      <c r="F34" s="4">
        <v>280374</v>
      </c>
      <c r="H34" s="4">
        <v>280374</v>
      </c>
      <c r="K34" s="2"/>
      <c r="L34" s="1"/>
      <c r="M34" s="1"/>
    </row>
    <row r="35" spans="1:13" x14ac:dyDescent="0.3">
      <c r="A35" s="4" t="s">
        <v>16</v>
      </c>
      <c r="B35" s="7"/>
      <c r="D35" s="7">
        <f>SUM(D31/D34)</f>
        <v>-46.292391591231713</v>
      </c>
      <c r="F35" s="7">
        <f>SUM(F31/F34)</f>
        <v>-43.412594724665389</v>
      </c>
      <c r="H35" s="7">
        <f>SUM(H31/H34)</f>
        <v>-44.852493157948551</v>
      </c>
      <c r="K35" s="1"/>
      <c r="L35" s="1"/>
      <c r="M35" s="1"/>
    </row>
    <row r="36" spans="1:13" x14ac:dyDescent="0.3">
      <c r="A36" s="4" t="s">
        <v>17</v>
      </c>
      <c r="B36" s="7"/>
      <c r="D36" s="7">
        <f>SUM(D32/D34)</f>
        <v>-53.13985961608423</v>
      </c>
      <c r="F36" s="7">
        <f>SUM(F32/F34)</f>
        <v>-51.265460499982964</v>
      </c>
      <c r="H36" s="7">
        <f>SUM(H32/H34)</f>
        <v>-52.202660058033601</v>
      </c>
      <c r="K36" s="2"/>
      <c r="L36" s="1"/>
      <c r="M36" s="3"/>
    </row>
    <row r="37" spans="1:13" x14ac:dyDescent="0.3">
      <c r="K37" s="2"/>
      <c r="L37" s="1"/>
      <c r="M37" s="3"/>
    </row>
    <row r="39" spans="1:13" x14ac:dyDescent="0.3">
      <c r="A39" s="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Sources for Table 13.2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J.C. Bradbury</dc:creator>
  <cp:lastModifiedBy>J.C. Bradbury</cp:lastModifiedBy>
  <dcterms:created xsi:type="dcterms:W3CDTF">2026-01-07T15:33:56Z</dcterms:created>
  <dcterms:modified xsi:type="dcterms:W3CDTF">2026-01-07T16:29:17Z</dcterms:modified>
</cp:coreProperties>
</file>